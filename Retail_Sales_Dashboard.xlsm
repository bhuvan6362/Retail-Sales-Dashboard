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defaultThemeVersion="124226"/>
  <mc:AlternateContent xmlns:mc="http://schemas.openxmlformats.org/markup-compatibility/2006">
    <mc:Choice Requires="x15">
      <x15ac:absPath xmlns:x15ac="http://schemas.microsoft.com/office/spreadsheetml/2010/11/ac" url="C:\Users\bhuva\OneDrive\Desktop\excel project\"/>
    </mc:Choice>
  </mc:AlternateContent>
  <xr:revisionPtr revIDLastSave="0" documentId="13_ncr:1_{C5163749-4299-4B56-8218-66C551F7ECBA}" xr6:coauthVersionLast="47" xr6:coauthVersionMax="47" xr10:uidLastSave="{00000000-0000-0000-0000-000000000000}"/>
  <bookViews>
    <workbookView xWindow="-108" yWindow="-108" windowWidth="23256" windowHeight="12456" activeTab="2" xr2:uid="{00000000-000D-0000-FFFF-FFFF00000000}"/>
  </bookViews>
  <sheets>
    <sheet name="Sheet2" sheetId="2" r:id="rId1"/>
    <sheet name="Sheet3" sheetId="3" r:id="rId2"/>
    <sheet name="Dashboard" sheetId="4" r:id="rId3"/>
    <sheet name="Sheet5" sheetId="6" r:id="rId4"/>
    <sheet name="Sheet1" sheetId="1" r:id="rId5"/>
    <sheet name="Sheet4" sheetId="5" r:id="rId6"/>
  </sheets>
  <definedNames>
    <definedName name="Slicer_Product_Category">#N/A</definedName>
    <definedName name="Slicer_Region">#N/A</definedName>
  </definedNames>
  <calcPr calcId="191029"/>
  <pivotCaches>
    <pivotCache cacheId="2"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5" l="1"/>
  <c r="A1" i="5"/>
  <c r="A4" i="5"/>
  <c r="A3" i="5"/>
</calcChain>
</file>

<file path=xl/sharedStrings.xml><?xml version="1.0" encoding="utf-8"?>
<sst xmlns="http://schemas.openxmlformats.org/spreadsheetml/2006/main" count="312" uniqueCount="144">
  <si>
    <t>Order ID</t>
  </si>
  <si>
    <t>Order Date</t>
  </si>
  <si>
    <t>Region</t>
  </si>
  <si>
    <t>Customer Name</t>
  </si>
  <si>
    <t>Product Category</t>
  </si>
  <si>
    <t>Product Name</t>
  </si>
  <si>
    <t>Quantity</t>
  </si>
  <si>
    <t>Unit Price</t>
  </si>
  <si>
    <t>Profit</t>
  </si>
  <si>
    <t>Total Sales</t>
  </si>
  <si>
    <t>Profit Margin</t>
  </si>
  <si>
    <t>ORD0001</t>
  </si>
  <si>
    <t>ORD0002</t>
  </si>
  <si>
    <t>ORD0003</t>
  </si>
  <si>
    <t>ORD0004</t>
  </si>
  <si>
    <t>ORD0005</t>
  </si>
  <si>
    <t>ORD0006</t>
  </si>
  <si>
    <t>ORD0007</t>
  </si>
  <si>
    <t>ORD0008</t>
  </si>
  <si>
    <t>ORD0009</t>
  </si>
  <si>
    <t>ORD0010</t>
  </si>
  <si>
    <t>ORD0011</t>
  </si>
  <si>
    <t>ORD0012</t>
  </si>
  <si>
    <t>ORD0013</t>
  </si>
  <si>
    <t>ORD0014</t>
  </si>
  <si>
    <t>ORD0015</t>
  </si>
  <si>
    <t>ORD0016</t>
  </si>
  <si>
    <t>ORD0017</t>
  </si>
  <si>
    <t>ORD0018</t>
  </si>
  <si>
    <t>ORD0019</t>
  </si>
  <si>
    <t>ORD0020</t>
  </si>
  <si>
    <t>ORD0021</t>
  </si>
  <si>
    <t>ORD0022</t>
  </si>
  <si>
    <t>ORD0023</t>
  </si>
  <si>
    <t>ORD0024</t>
  </si>
  <si>
    <t>ORD0025</t>
  </si>
  <si>
    <t>ORD0026</t>
  </si>
  <si>
    <t>ORD0027</t>
  </si>
  <si>
    <t>ORD0028</t>
  </si>
  <si>
    <t>ORD0029</t>
  </si>
  <si>
    <t>ORD0030</t>
  </si>
  <si>
    <t>ORD0031</t>
  </si>
  <si>
    <t>ORD0032</t>
  </si>
  <si>
    <t>ORD0033</t>
  </si>
  <si>
    <t>ORD0034</t>
  </si>
  <si>
    <t>ORD0035</t>
  </si>
  <si>
    <t>ORD0036</t>
  </si>
  <si>
    <t>ORD0037</t>
  </si>
  <si>
    <t>ORD0038</t>
  </si>
  <si>
    <t>ORD0039</t>
  </si>
  <si>
    <t>ORD0040</t>
  </si>
  <si>
    <t>ORD0041</t>
  </si>
  <si>
    <t>ORD0042</t>
  </si>
  <si>
    <t>ORD0043</t>
  </si>
  <si>
    <t>ORD0044</t>
  </si>
  <si>
    <t>ORD0045</t>
  </si>
  <si>
    <t>ORD0046</t>
  </si>
  <si>
    <t>ORD0047</t>
  </si>
  <si>
    <t>ORD0048</t>
  </si>
  <si>
    <t>ORD0049</t>
  </si>
  <si>
    <t>ORD0050</t>
  </si>
  <si>
    <t>East</t>
  </si>
  <si>
    <t>South</t>
  </si>
  <si>
    <t>West</t>
  </si>
  <si>
    <t>North</t>
  </si>
  <si>
    <t>Angela Gould</t>
  </si>
  <si>
    <t>John Mccoy</t>
  </si>
  <si>
    <t>James Wilson</t>
  </si>
  <si>
    <t>Heather Patrick</t>
  </si>
  <si>
    <t>Michael Todd</t>
  </si>
  <si>
    <t>Michael Little</t>
  </si>
  <si>
    <t>Sarah Davis</t>
  </si>
  <si>
    <t>Bethany Rogers</t>
  </si>
  <si>
    <t>Abigail Hodges</t>
  </si>
  <si>
    <t>Patrick Valdez</t>
  </si>
  <si>
    <t>Frederick Collins</t>
  </si>
  <si>
    <t>Wesley Morris</t>
  </si>
  <si>
    <t>Rachel Hall</t>
  </si>
  <si>
    <t>Paul Johnson</t>
  </si>
  <si>
    <t>Nicole Anderson</t>
  </si>
  <si>
    <t>David Graham</t>
  </si>
  <si>
    <t>Edward Johnson</t>
  </si>
  <si>
    <t>Wendy May</t>
  </si>
  <si>
    <t>Catherine Jones</t>
  </si>
  <si>
    <t>Veronica Gray</t>
  </si>
  <si>
    <t>Victor Sanders</t>
  </si>
  <si>
    <t>Ricky Small</t>
  </si>
  <si>
    <t>Cindy Hill</t>
  </si>
  <si>
    <t>Jackie Nelson</t>
  </si>
  <si>
    <t>Corey Dawson</t>
  </si>
  <si>
    <t>Alexis Orr</t>
  </si>
  <si>
    <t>Brett Jackson</t>
  </si>
  <si>
    <t>Elizabeth Morrison</t>
  </si>
  <si>
    <t>Lori Ellison</t>
  </si>
  <si>
    <t>Kelly George</t>
  </si>
  <si>
    <t>Anna Morton</t>
  </si>
  <si>
    <t>Diana Martin</t>
  </si>
  <si>
    <t>Zachary Blackwell</t>
  </si>
  <si>
    <t>Christopher Lowe</t>
  </si>
  <si>
    <t>Jason Keith</t>
  </si>
  <si>
    <t>Jamie Downs</t>
  </si>
  <si>
    <t>Brandon Brown</t>
  </si>
  <si>
    <t>Todd Medina</t>
  </si>
  <si>
    <t>Stephanie Cook</t>
  </si>
  <si>
    <t>Susan Schwartz</t>
  </si>
  <si>
    <t>Cody Cruz</t>
  </si>
  <si>
    <t>Gloria Lopez</t>
  </si>
  <si>
    <t>Tina Mccormick</t>
  </si>
  <si>
    <t>Christopher Johnson</t>
  </si>
  <si>
    <t>Ann Mueller</t>
  </si>
  <si>
    <t>Debra Saunders</t>
  </si>
  <si>
    <t>Robin Mcmahon</t>
  </si>
  <si>
    <t>Brenda Green</t>
  </si>
  <si>
    <t>Julia Griffith</t>
  </si>
  <si>
    <t>Regina Gardner</t>
  </si>
  <si>
    <t>Office Supplies</t>
  </si>
  <si>
    <t>Furniture</t>
  </si>
  <si>
    <t>Electronics</t>
  </si>
  <si>
    <t>Notebook</t>
  </si>
  <si>
    <t>Chair</t>
  </si>
  <si>
    <t>Desk</t>
  </si>
  <si>
    <t>Mouse</t>
  </si>
  <si>
    <t>Pen</t>
  </si>
  <si>
    <t>Stapler</t>
  </si>
  <si>
    <t>Bookshelf</t>
  </si>
  <si>
    <t>Laptop</t>
  </si>
  <si>
    <t>Headphones</t>
  </si>
  <si>
    <t>Monitor</t>
  </si>
  <si>
    <t>Row Labels</t>
  </si>
  <si>
    <t>Grand Total</t>
  </si>
  <si>
    <t>Sum of Total Sales</t>
  </si>
  <si>
    <t>Sum of Profit</t>
  </si>
  <si>
    <t>Jan</t>
  </si>
  <si>
    <t>Feb</t>
  </si>
  <si>
    <t>Mar</t>
  </si>
  <si>
    <t>Apr</t>
  </si>
  <si>
    <t>May</t>
  </si>
  <si>
    <t>Jun</t>
  </si>
  <si>
    <t>Jul</t>
  </si>
  <si>
    <t>2025</t>
  </si>
  <si>
    <t>Retail_Sales_Dashboard</t>
  </si>
  <si>
    <t>Total Profit</t>
  </si>
  <si>
    <t>Average Monthly Sales</t>
  </si>
  <si>
    <t>Extract month from column B (Order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</si>
</sst>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 x14ac:knownFonts="1">
    <font>
      <sz val="11"/>
      <color theme="1"/>
      <name val="Calibri"/>
      <family val="2"/>
      <scheme val="minor"/>
    </font>
    <font>
      <b/>
      <sz val="11"/>
      <color theme="0"/>
      <name val="Calibri"/>
      <family val="2"/>
      <scheme val="minor"/>
    </font>
    <font>
      <b/>
      <sz val="22"/>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rgb="FFFCEADE"/>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14">
    <xf numFmtId="0" fontId="0" fillId="0" borderId="0" xfId="0"/>
    <xf numFmtId="0" fontId="1" fillId="2" borderId="2" xfId="0" applyFont="1" applyFill="1" applyBorder="1" applyAlignment="1">
      <alignment horizontal="center" vertical="top"/>
    </xf>
    <xf numFmtId="0" fontId="0" fillId="0" borderId="1" xfId="0" applyBorder="1"/>
    <xf numFmtId="164" fontId="0" fillId="0" borderId="1" xfId="0" applyNumberFormat="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3" borderId="0" xfId="0" applyFill="1"/>
    <xf numFmtId="0" fontId="0" fillId="4" borderId="0" xfId="0" applyFill="1"/>
    <xf numFmtId="0" fontId="0" fillId="6" borderId="0" xfId="0" applyFill="1"/>
    <xf numFmtId="0" fontId="2" fillId="5" borderId="0" xfId="0" applyFont="1" applyFill="1" applyAlignment="1">
      <alignment horizontal="center"/>
    </xf>
    <xf numFmtId="0" fontId="0" fillId="0" borderId="0" xfId="0" applyNumberFormat="1"/>
    <xf numFmtId="0" fontId="0" fillId="6" borderId="0" xfId="0" applyFill="1" applyAlignment="1">
      <alignment horizontal="left"/>
    </xf>
    <xf numFmtId="0" fontId="0" fillId="6" borderId="0" xfId="0" applyNumberFormat="1" applyFill="1"/>
  </cellXfs>
  <cellStyles count="1">
    <cellStyle name="Normal" xfId="0" builtinId="0"/>
  </cellStyles>
  <dxfs count="14">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yyyy\-mm\-dd"/>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333333"/>
      <color rgb="FFE8F0FE"/>
      <color rgb="FFF5F5F5"/>
      <color rgb="FFD9D7BD"/>
      <color rgb="FFD9D9D9"/>
      <color rgb="FF4F81BD"/>
      <color rgb="FFF79646"/>
      <color rgb="FF9BBB59"/>
      <color rgb="FFFCEA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[Retail_Sales_Dashboard.xlsm]Sheet2!PivotTable3</c:name>
    <c:fmtId val="2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Sheet2!$A$4:$A$8</c:f>
              <c:strCache>
                <c:ptCount val="4"/>
                <c:pt idx="0">
                  <c:v>North</c:v>
                </c:pt>
                <c:pt idx="1">
                  <c:v>South</c:v>
                </c:pt>
                <c:pt idx="2">
                  <c:v>East</c:v>
                </c:pt>
                <c:pt idx="3">
                  <c:v>West</c:v>
                </c:pt>
              </c:strCache>
            </c:strRef>
          </c:cat>
          <c:val>
            <c:numRef>
              <c:f>Sheet2!$B$4:$B$8</c:f>
              <c:numCache>
                <c:formatCode>General</c:formatCode>
                <c:ptCount val="4"/>
                <c:pt idx="0">
                  <c:v>1980485</c:v>
                </c:pt>
                <c:pt idx="1">
                  <c:v>1151112</c:v>
                </c:pt>
                <c:pt idx="2">
                  <c:v>2520629</c:v>
                </c:pt>
                <c:pt idx="3">
                  <c:v>2776872</c:v>
                </c:pt>
              </c:numCache>
            </c:numRef>
          </c:val>
          <c:extLst>
            <c:ext xmlns:c16="http://schemas.microsoft.com/office/drawing/2014/chart" uri="{C3380CC4-5D6E-409C-BE32-E72D297353CC}">
              <c16:uniqueId val="{00000000-10E9-4818-A1D0-F94D14FDE93C}"/>
            </c:ext>
          </c:extLst>
        </c:ser>
        <c:dLbls>
          <c:showLegendKey val="0"/>
          <c:showVal val="0"/>
          <c:showCatName val="0"/>
          <c:showSerName val="0"/>
          <c:showPercent val="0"/>
          <c:showBubbleSize val="0"/>
        </c:dLbls>
        <c:gapWidth val="219"/>
        <c:overlap val="-27"/>
        <c:axId val="1641707023"/>
        <c:axId val="1118934895"/>
      </c:barChart>
      <c:catAx>
        <c:axId val="164170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34895"/>
        <c:crosses val="autoZero"/>
        <c:auto val="1"/>
        <c:lblAlgn val="ctr"/>
        <c:lblOffset val="100"/>
        <c:noMultiLvlLbl val="0"/>
      </c:catAx>
      <c:valAx>
        <c:axId val="111893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70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[Retail_Sales_Dashboard.xlsm]Sheet3!PivotTable4</c:name>
    <c:fmtId val="3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Sheet3!$B$2</c:f>
              <c:strCache>
                <c:ptCount val="1"/>
                <c:pt idx="0">
                  <c:v>Sum of Total Sales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D12-4F80-ABED-59EE9D9F50A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D12-4F80-ABED-59EE9D9F50A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D12-4F80-ABED-59EE9D9F50A2}"/>
              </c:ext>
            </c:extLst>
          </c:dPt>
          <c:cat>
            <c:strRef>
              <c:f>Sheet3!$A$3:$A$6</c:f>
              <c:strCache>
                <c:ptCount val="3"/>
                <c:pt idx="0">
                  <c:v>Electronics</c:v>
                </c:pt>
                <c:pt idx="1">
                  <c:v>Furniture</c:v>
                </c:pt>
                <c:pt idx="2">
                  <c:v>Office Supplies</c:v>
                </c:pt>
              </c:strCache>
            </c:strRef>
          </c:cat>
          <c:val>
            <c:numRef>
              <c:f>Sheet3!$B$3:$B$6</c:f>
              <c:numCache>
                <c:formatCode>General</c:formatCode>
                <c:ptCount val="3"/>
                <c:pt idx="0">
                  <c:v>3106302</c:v>
                </c:pt>
                <c:pt idx="1">
                  <c:v>2333687</c:v>
                </c:pt>
                <c:pt idx="2">
                  <c:v>2989109</c:v>
                </c:pt>
              </c:numCache>
            </c:numRef>
          </c:val>
          <c:extLst>
            <c:ext xmlns:c16="http://schemas.microsoft.com/office/drawing/2014/chart" uri="{C3380CC4-5D6E-409C-BE32-E72D297353CC}">
              <c16:uniqueId val="{00000000-D1D4-48E8-BA9B-3D01261EE6ED}"/>
            </c:ext>
          </c:extLst>
        </c:ser>
        <c:ser>
          <c:idx val="1"/>
          <c:order val="1"/>
          <c:tx>
            <c:strRef>
              <c:f>Sheet3!$C$2</c:f>
              <c:strCache>
                <c:ptCount val="1"/>
                <c:pt idx="0">
                  <c:v>Sum of Profit</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7-7D12-4F80-ABED-59EE9D9F50A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7D12-4F80-ABED-59EE9D9F50A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B-7D12-4F80-ABED-59EE9D9F50A2}"/>
              </c:ext>
            </c:extLst>
          </c:dPt>
          <c:cat>
            <c:strRef>
              <c:f>Sheet3!$A$3:$A$6</c:f>
              <c:strCache>
                <c:ptCount val="3"/>
                <c:pt idx="0">
                  <c:v>Electronics</c:v>
                </c:pt>
                <c:pt idx="1">
                  <c:v>Furniture</c:v>
                </c:pt>
                <c:pt idx="2">
                  <c:v>Office Supplies</c:v>
                </c:pt>
              </c:strCache>
            </c:strRef>
          </c:cat>
          <c:val>
            <c:numRef>
              <c:f>Sheet3!$C$3:$C$6</c:f>
              <c:numCache>
                <c:formatCode>General</c:formatCode>
                <c:ptCount val="3"/>
                <c:pt idx="0">
                  <c:v>444537.50999999995</c:v>
                </c:pt>
                <c:pt idx="1">
                  <c:v>434353.61</c:v>
                </c:pt>
                <c:pt idx="2">
                  <c:v>513183.65</c:v>
                </c:pt>
              </c:numCache>
            </c:numRef>
          </c:val>
          <c:extLst>
            <c:ext xmlns:c16="http://schemas.microsoft.com/office/drawing/2014/chart" uri="{C3380CC4-5D6E-409C-BE32-E72D297353CC}">
              <c16:uniqueId val="{00000001-D1D4-48E8-BA9B-3D01261EE6E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[Retail_Sales_Dashboard.xlsm]Sheet3!PivotTable5</c:name>
    <c:fmtId val="2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Sheet3!$B$37</c:f>
              <c:strCache>
                <c:ptCount val="1"/>
                <c:pt idx="0">
                  <c:v>Total</c:v>
                </c:pt>
              </c:strCache>
            </c:strRef>
          </c:tx>
          <c:spPr>
            <a:ln w="28575" cap="rnd">
              <a:solidFill>
                <a:schemeClr val="accent1"/>
              </a:solidFill>
              <a:round/>
            </a:ln>
            <a:effectLst/>
          </c:spPr>
          <c:marker>
            <c:symbol val="none"/>
          </c:marker>
          <c:cat>
            <c:multiLvlStrRef>
              <c:f>Sheet3!$A$38:$A$46</c:f>
              <c:multiLvlStrCache>
                <c:ptCount val="7"/>
                <c:lvl>
                  <c:pt idx="0">
                    <c:v>Jan</c:v>
                  </c:pt>
                  <c:pt idx="1">
                    <c:v>Feb</c:v>
                  </c:pt>
                  <c:pt idx="2">
                    <c:v>Mar</c:v>
                  </c:pt>
                  <c:pt idx="3">
                    <c:v>Apr</c:v>
                  </c:pt>
                  <c:pt idx="4">
                    <c:v>May</c:v>
                  </c:pt>
                  <c:pt idx="5">
                    <c:v>Jun</c:v>
                  </c:pt>
                  <c:pt idx="6">
                    <c:v>Jul</c:v>
                  </c:pt>
                </c:lvl>
                <c:lvl>
                  <c:pt idx="0">
                    <c:v>2025</c:v>
                  </c:pt>
                </c:lvl>
              </c:multiLvlStrCache>
            </c:multiLvlStrRef>
          </c:cat>
          <c:val>
            <c:numRef>
              <c:f>Sheet3!$B$38:$B$46</c:f>
              <c:numCache>
                <c:formatCode>General</c:formatCode>
                <c:ptCount val="7"/>
                <c:pt idx="0">
                  <c:v>381602</c:v>
                </c:pt>
                <c:pt idx="1">
                  <c:v>1129482</c:v>
                </c:pt>
                <c:pt idx="2">
                  <c:v>1022803</c:v>
                </c:pt>
                <c:pt idx="3">
                  <c:v>1285598</c:v>
                </c:pt>
                <c:pt idx="4">
                  <c:v>1635807</c:v>
                </c:pt>
                <c:pt idx="5">
                  <c:v>1809711</c:v>
                </c:pt>
                <c:pt idx="6">
                  <c:v>1164095</c:v>
                </c:pt>
              </c:numCache>
            </c:numRef>
          </c:val>
          <c:smooth val="0"/>
          <c:extLst>
            <c:ext xmlns:c16="http://schemas.microsoft.com/office/drawing/2014/chart" uri="{C3380CC4-5D6E-409C-BE32-E72D297353CC}">
              <c16:uniqueId val="{00000000-A878-44BD-9B28-B439DE3118B1}"/>
            </c:ext>
          </c:extLst>
        </c:ser>
        <c:dLbls>
          <c:showLegendKey val="0"/>
          <c:showVal val="0"/>
          <c:showCatName val="0"/>
          <c:showSerName val="0"/>
          <c:showPercent val="0"/>
          <c:showBubbleSize val="0"/>
        </c:dLbls>
        <c:smooth val="0"/>
        <c:axId val="1641707983"/>
        <c:axId val="1641708943"/>
      </c:lineChart>
      <c:catAx>
        <c:axId val="164170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708943"/>
        <c:crosses val="autoZero"/>
        <c:auto val="1"/>
        <c:lblAlgn val="ctr"/>
        <c:lblOffset val="100"/>
        <c:noMultiLvlLbl val="0"/>
      </c:catAx>
      <c:valAx>
        <c:axId val="1641708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707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[Retail_Sales_Dashboard.xlsm]Sheet3!PivotTable6</c:name>
    <c:fmtId val="4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Sheet3!$C$67</c:f>
              <c:strCache>
                <c:ptCount val="1"/>
                <c:pt idx="0">
                  <c:v>Total</c:v>
                </c:pt>
              </c:strCache>
            </c:strRef>
          </c:tx>
          <c:spPr>
            <a:solidFill>
              <a:schemeClr val="accent1"/>
            </a:solidFill>
            <a:ln>
              <a:noFill/>
            </a:ln>
            <a:effectLst/>
          </c:spPr>
          <c:invertIfNegative val="0"/>
          <c:cat>
            <c:strRef>
              <c:f>Sheet3!$B$68:$B$73</c:f>
              <c:strCache>
                <c:ptCount val="5"/>
                <c:pt idx="0">
                  <c:v>Chair</c:v>
                </c:pt>
                <c:pt idx="1">
                  <c:v>Headphones</c:v>
                </c:pt>
                <c:pt idx="2">
                  <c:v>Mouse</c:v>
                </c:pt>
                <c:pt idx="3">
                  <c:v>Notebook</c:v>
                </c:pt>
                <c:pt idx="4">
                  <c:v>Pen</c:v>
                </c:pt>
              </c:strCache>
            </c:strRef>
          </c:cat>
          <c:val>
            <c:numRef>
              <c:f>Sheet3!$C$68:$C$73</c:f>
              <c:numCache>
                <c:formatCode>General</c:formatCode>
                <c:ptCount val="5"/>
                <c:pt idx="0">
                  <c:v>896783</c:v>
                </c:pt>
                <c:pt idx="1">
                  <c:v>1053696</c:v>
                </c:pt>
                <c:pt idx="2">
                  <c:v>860718</c:v>
                </c:pt>
                <c:pt idx="3">
                  <c:v>965516</c:v>
                </c:pt>
                <c:pt idx="4">
                  <c:v>1366000</c:v>
                </c:pt>
              </c:numCache>
            </c:numRef>
          </c:val>
          <c:extLst>
            <c:ext xmlns:c16="http://schemas.microsoft.com/office/drawing/2014/chart" uri="{C3380CC4-5D6E-409C-BE32-E72D297353CC}">
              <c16:uniqueId val="{00000000-E133-4BAB-8116-F830C8BC52E5}"/>
            </c:ext>
          </c:extLst>
        </c:ser>
        <c:dLbls>
          <c:showLegendKey val="0"/>
          <c:showVal val="0"/>
          <c:showCatName val="0"/>
          <c:showSerName val="0"/>
          <c:showPercent val="0"/>
          <c:showBubbleSize val="0"/>
        </c:dLbls>
        <c:gapWidth val="219"/>
        <c:overlap val="-27"/>
        <c:axId val="1641329279"/>
        <c:axId val="1641328319"/>
      </c:barChart>
      <c:catAx>
        <c:axId val="164132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328319"/>
        <c:crosses val="autoZero"/>
        <c:auto val="1"/>
        <c:lblAlgn val="ctr"/>
        <c:lblOffset val="100"/>
        <c:noMultiLvlLbl val="0"/>
      </c:catAx>
      <c:valAx>
        <c:axId val="1641328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329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[Retail_Sales_Dashboard.xlsm]Sheet2!PivotTable3</c:name>
    <c:fmtId val="28"/>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a:t>Sales by Region</a:t>
            </a:r>
            <a:endParaRPr lang="en-US"/>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pivotFmt>
    </c:pivotFmts>
    <c:plotArea>
      <c:layout/>
      <c:barChart>
        <c:barDir val="col"/>
        <c:grouping val="clustered"/>
        <c:varyColors val="0"/>
        <c:ser>
          <c:idx val="0"/>
          <c:order val="0"/>
          <c:tx>
            <c:strRef>
              <c:f>Sheet2!$B$3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Sheet2!$A$4:$A$8</c:f>
              <c:strCache>
                <c:ptCount val="4"/>
                <c:pt idx="0">
                  <c:v>North</c:v>
                </c:pt>
                <c:pt idx="1">
                  <c:v>South</c:v>
                </c:pt>
                <c:pt idx="2">
                  <c:v>East</c:v>
                </c:pt>
                <c:pt idx="3">
                  <c:v>West</c:v>
                </c:pt>
              </c:strCache>
            </c:strRef>
          </c:cat>
          <c:val>
            <c:numRef>
              <c:f>Sheet2!$B$4:$B$8</c:f>
              <c:numCache>
                <c:formatCode>General</c:formatCode>
                <c:ptCount val="4"/>
                <c:pt idx="0">
                  <c:v>1980485</c:v>
                </c:pt>
                <c:pt idx="1">
                  <c:v>1151112</c:v>
                </c:pt>
                <c:pt idx="2">
                  <c:v>2520629</c:v>
                </c:pt>
                <c:pt idx="3">
                  <c:v>2776872</c:v>
                </c:pt>
              </c:numCache>
            </c:numRef>
          </c:val>
          <c:extLst>
            <c:ext xmlns:c16="http://schemas.microsoft.com/office/drawing/2014/chart" uri="{C3380CC4-5D6E-409C-BE32-E72D297353CC}">
              <c16:uniqueId val="{00000000-6C81-4EB3-B2F6-DAF76BDC2CA4}"/>
            </c:ext>
          </c:extLst>
        </c:ser>
        <c:dLbls>
          <c:dLblPos val="outEnd"/>
          <c:showLegendKey val="0"/>
          <c:showVal val="1"/>
          <c:showCatName val="0"/>
          <c:showSerName val="0"/>
          <c:showPercent val="0"/>
          <c:showBubbleSize val="0"/>
        </c:dLbls>
        <c:gapWidth val="355"/>
        <c:overlap val="-70"/>
        <c:axId val="1641707023"/>
        <c:axId val="1118934895"/>
      </c:barChart>
      <c:catAx>
        <c:axId val="164170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34895"/>
        <c:crosses val="autoZero"/>
        <c:auto val="1"/>
        <c:lblAlgn val="ctr"/>
        <c:lblOffset val="100"/>
        <c:noMultiLvlLbl val="0"/>
      </c:catAx>
      <c:valAx>
        <c:axId val="1118934895"/>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70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[Retail_Sales_Dashboard.xlsm]Sheet3!PivotTable5</c:name>
    <c:fmtId val="3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Monthly Sales Trend</a:t>
            </a:r>
          </a:p>
        </c:rich>
      </c:tx>
      <c:layout>
        <c:manualLayout>
          <c:xMode val="edge"/>
          <c:yMode val="edge"/>
          <c:x val="0.30872555570615878"/>
          <c:y val="8.938677300631890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Sheet3!$B$37</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Sheet3!$A$38:$A$46</c:f>
              <c:multiLvlStrCache>
                <c:ptCount val="7"/>
                <c:lvl>
                  <c:pt idx="0">
                    <c:v>Jan</c:v>
                  </c:pt>
                  <c:pt idx="1">
                    <c:v>Feb</c:v>
                  </c:pt>
                  <c:pt idx="2">
                    <c:v>Mar</c:v>
                  </c:pt>
                  <c:pt idx="3">
                    <c:v>Apr</c:v>
                  </c:pt>
                  <c:pt idx="4">
                    <c:v>May</c:v>
                  </c:pt>
                  <c:pt idx="5">
                    <c:v>Jun</c:v>
                  </c:pt>
                  <c:pt idx="6">
                    <c:v>Jul</c:v>
                  </c:pt>
                </c:lvl>
                <c:lvl>
                  <c:pt idx="0">
                    <c:v>2025</c:v>
                  </c:pt>
                </c:lvl>
              </c:multiLvlStrCache>
            </c:multiLvlStrRef>
          </c:cat>
          <c:val>
            <c:numRef>
              <c:f>Sheet3!$B$38:$B$46</c:f>
              <c:numCache>
                <c:formatCode>General</c:formatCode>
                <c:ptCount val="7"/>
                <c:pt idx="0">
                  <c:v>381602</c:v>
                </c:pt>
                <c:pt idx="1">
                  <c:v>1129482</c:v>
                </c:pt>
                <c:pt idx="2">
                  <c:v>1022803</c:v>
                </c:pt>
                <c:pt idx="3">
                  <c:v>1285598</c:v>
                </c:pt>
                <c:pt idx="4">
                  <c:v>1635807</c:v>
                </c:pt>
                <c:pt idx="5">
                  <c:v>1809711</c:v>
                </c:pt>
                <c:pt idx="6">
                  <c:v>1164095</c:v>
                </c:pt>
              </c:numCache>
            </c:numRef>
          </c:val>
          <c:smooth val="0"/>
          <c:extLst>
            <c:ext xmlns:c16="http://schemas.microsoft.com/office/drawing/2014/chart" uri="{C3380CC4-5D6E-409C-BE32-E72D297353CC}">
              <c16:uniqueId val="{00000004-4F82-48DE-8C66-B24BBADBBC95}"/>
            </c:ext>
          </c:extLst>
        </c:ser>
        <c:dLbls>
          <c:dLblPos val="ctr"/>
          <c:showLegendKey val="0"/>
          <c:showVal val="1"/>
          <c:showCatName val="0"/>
          <c:showSerName val="0"/>
          <c:showPercent val="0"/>
          <c:showBubbleSize val="0"/>
        </c:dLbls>
        <c:marker val="1"/>
        <c:smooth val="0"/>
        <c:axId val="1641707983"/>
        <c:axId val="1641708943"/>
      </c:lineChart>
      <c:catAx>
        <c:axId val="164170798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1708943"/>
        <c:crosses val="autoZero"/>
        <c:auto val="1"/>
        <c:lblAlgn val="ctr"/>
        <c:lblOffset val="100"/>
        <c:noMultiLvlLbl val="0"/>
      </c:catAx>
      <c:valAx>
        <c:axId val="16417089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1707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[Retail_Sales_Dashboard.xlsm]Sheet3!PivotTable4</c:name>
    <c:fmtId val="33"/>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Sales by Category</a:t>
            </a:r>
            <a:endParaRPr lang="en-US"/>
          </a:p>
        </c:rich>
      </c:tx>
      <c:layout>
        <c:manualLayout>
          <c:xMode val="edge"/>
          <c:yMode val="edge"/>
          <c:x val="0.28204483405561775"/>
          <c:y val="2.509798990196545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Sheet3!$B$2</c:f>
              <c:strCache>
                <c:ptCount val="1"/>
                <c:pt idx="0">
                  <c:v>Sum of Total Sales</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3570-4EB1-8CA9-40FCC3808B23}"/>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3570-4EB1-8CA9-40FCC3808B23}"/>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3570-4EB1-8CA9-40FCC3808B2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Sheet3!$A$3:$A$6</c:f>
              <c:strCache>
                <c:ptCount val="3"/>
                <c:pt idx="0">
                  <c:v>Electronics</c:v>
                </c:pt>
                <c:pt idx="1">
                  <c:v>Furniture</c:v>
                </c:pt>
                <c:pt idx="2">
                  <c:v>Office Supplies</c:v>
                </c:pt>
              </c:strCache>
            </c:strRef>
          </c:cat>
          <c:val>
            <c:numRef>
              <c:f>Sheet3!$B$3:$B$6</c:f>
              <c:numCache>
                <c:formatCode>General</c:formatCode>
                <c:ptCount val="3"/>
                <c:pt idx="0">
                  <c:v>3106302</c:v>
                </c:pt>
                <c:pt idx="1">
                  <c:v>2333687</c:v>
                </c:pt>
                <c:pt idx="2">
                  <c:v>2989109</c:v>
                </c:pt>
              </c:numCache>
            </c:numRef>
          </c:val>
          <c:extLst>
            <c:ext xmlns:c16="http://schemas.microsoft.com/office/drawing/2014/chart" uri="{C3380CC4-5D6E-409C-BE32-E72D297353CC}">
              <c16:uniqueId val="{00000006-3570-4EB1-8CA9-40FCC3808B23}"/>
            </c:ext>
          </c:extLst>
        </c:ser>
        <c:ser>
          <c:idx val="1"/>
          <c:order val="1"/>
          <c:tx>
            <c:strRef>
              <c:f>Sheet3!$C$2</c:f>
              <c:strCache>
                <c:ptCount val="1"/>
                <c:pt idx="0">
                  <c:v>Sum of Profit</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8-3570-4EB1-8CA9-40FCC3808B23}"/>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A-3570-4EB1-8CA9-40FCC3808B23}"/>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C-3570-4EB1-8CA9-40FCC3808B2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Sheet3!$A$3:$A$6</c:f>
              <c:strCache>
                <c:ptCount val="3"/>
                <c:pt idx="0">
                  <c:v>Electronics</c:v>
                </c:pt>
                <c:pt idx="1">
                  <c:v>Furniture</c:v>
                </c:pt>
                <c:pt idx="2">
                  <c:v>Office Supplies</c:v>
                </c:pt>
              </c:strCache>
            </c:strRef>
          </c:cat>
          <c:val>
            <c:numRef>
              <c:f>Sheet3!$C$3:$C$6</c:f>
              <c:numCache>
                <c:formatCode>General</c:formatCode>
                <c:ptCount val="3"/>
                <c:pt idx="0">
                  <c:v>444537.50999999995</c:v>
                </c:pt>
                <c:pt idx="1">
                  <c:v>434353.61</c:v>
                </c:pt>
                <c:pt idx="2">
                  <c:v>513183.65</c:v>
                </c:pt>
              </c:numCache>
            </c:numRef>
          </c:val>
          <c:extLst>
            <c:ext xmlns:c16="http://schemas.microsoft.com/office/drawing/2014/chart" uri="{C3380CC4-5D6E-409C-BE32-E72D297353CC}">
              <c16:uniqueId val="{0000000D-3570-4EB1-8CA9-40FCC3808B23}"/>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[Retail_Sales_Dashboard.xlsm]Sheet3!PivotTable6</c:name>
    <c:fmtId val="4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outerShdw blurRad="50800" dist="38100" dir="5400000" algn="t" rotWithShape="0">
                    <a:prstClr val="black">
                      <a:alpha val="40000"/>
                    </a:prstClr>
                  </a:outerShdw>
                </a:effectLst>
              </a:rPr>
              <a:t>Top 5 Best-Selling Products </a:t>
            </a:r>
            <a:endParaRPr lang="en-IN"/>
          </a:p>
        </c:rich>
      </c:tx>
      <c:layout>
        <c:manualLayout>
          <c:xMode val="edge"/>
          <c:yMode val="edge"/>
          <c:x val="0.19046656989978736"/>
          <c:y val="1.675543745237515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barChart>
        <c:barDir val="col"/>
        <c:grouping val="clustered"/>
        <c:varyColors val="0"/>
        <c:ser>
          <c:idx val="0"/>
          <c:order val="0"/>
          <c:tx>
            <c:strRef>
              <c:f>Sheet3!$C$67</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c:ext xmlns:c16="http://schemas.microsoft.com/office/drawing/2014/chart" uri="{C3380CC4-5D6E-409C-BE32-E72D297353CC}">
                <c16:uniqueId val="{00000005-0808-4F76-8EC4-3728BAA0ECDE}"/>
              </c:ext>
            </c:extLst>
          </c:dPt>
          <c:dPt>
            <c:idx val="1"/>
            <c:invertIfNegative val="0"/>
            <c:bubble3D val="0"/>
            <c:extLst>
              <c:ext xmlns:c16="http://schemas.microsoft.com/office/drawing/2014/chart" uri="{C3380CC4-5D6E-409C-BE32-E72D297353CC}">
                <c16:uniqueId val="{00000006-0808-4F76-8EC4-3728BAA0ECDE}"/>
              </c:ext>
            </c:extLst>
          </c:dPt>
          <c:dPt>
            <c:idx val="2"/>
            <c:invertIfNegative val="0"/>
            <c:bubble3D val="0"/>
            <c:extLst>
              <c:ext xmlns:c16="http://schemas.microsoft.com/office/drawing/2014/chart" uri="{C3380CC4-5D6E-409C-BE32-E72D297353CC}">
                <c16:uniqueId val="{00000007-0808-4F76-8EC4-3728BAA0ECDE}"/>
              </c:ext>
            </c:extLst>
          </c:dPt>
          <c:dPt>
            <c:idx val="3"/>
            <c:invertIfNegative val="0"/>
            <c:bubble3D val="0"/>
            <c:extLst>
              <c:ext xmlns:c16="http://schemas.microsoft.com/office/drawing/2014/chart" uri="{C3380CC4-5D6E-409C-BE32-E72D297353CC}">
                <c16:uniqueId val="{00000008-0808-4F76-8EC4-3728BAA0ECDE}"/>
              </c:ext>
            </c:extLst>
          </c:dPt>
          <c:dPt>
            <c:idx val="4"/>
            <c:invertIfNegative val="0"/>
            <c:bubble3D val="0"/>
            <c:extLst>
              <c:ext xmlns:c16="http://schemas.microsoft.com/office/drawing/2014/chart" uri="{C3380CC4-5D6E-409C-BE32-E72D297353CC}">
                <c16:uniqueId val="{00000009-0808-4F76-8EC4-3728BAA0ECDE}"/>
              </c:ext>
            </c:extLst>
          </c:dPt>
          <c:cat>
            <c:strRef>
              <c:f>Sheet3!$B$68:$B$73</c:f>
              <c:strCache>
                <c:ptCount val="5"/>
                <c:pt idx="0">
                  <c:v>Chair</c:v>
                </c:pt>
                <c:pt idx="1">
                  <c:v>Headphones</c:v>
                </c:pt>
                <c:pt idx="2">
                  <c:v>Mouse</c:v>
                </c:pt>
                <c:pt idx="3">
                  <c:v>Notebook</c:v>
                </c:pt>
                <c:pt idx="4">
                  <c:v>Pen</c:v>
                </c:pt>
              </c:strCache>
            </c:strRef>
          </c:cat>
          <c:val>
            <c:numRef>
              <c:f>Sheet3!$C$68:$C$73</c:f>
              <c:numCache>
                <c:formatCode>General</c:formatCode>
                <c:ptCount val="5"/>
                <c:pt idx="0">
                  <c:v>896783</c:v>
                </c:pt>
                <c:pt idx="1">
                  <c:v>1053696</c:v>
                </c:pt>
                <c:pt idx="2">
                  <c:v>860718</c:v>
                </c:pt>
                <c:pt idx="3">
                  <c:v>965516</c:v>
                </c:pt>
                <c:pt idx="4">
                  <c:v>1366000</c:v>
                </c:pt>
              </c:numCache>
            </c:numRef>
          </c:val>
          <c:extLst>
            <c:ext xmlns:c16="http://schemas.microsoft.com/office/drawing/2014/chart" uri="{C3380CC4-5D6E-409C-BE32-E72D297353CC}">
              <c16:uniqueId val="{00000004-0808-4F76-8EC4-3728BAA0ECDE}"/>
            </c:ext>
          </c:extLst>
        </c:ser>
        <c:dLbls>
          <c:showLegendKey val="0"/>
          <c:showVal val="0"/>
          <c:showCatName val="0"/>
          <c:showSerName val="0"/>
          <c:showPercent val="0"/>
          <c:showBubbleSize val="0"/>
        </c:dLbls>
        <c:gapWidth val="100"/>
        <c:overlap val="-24"/>
        <c:axId val="1641329279"/>
        <c:axId val="1641328319"/>
      </c:barChart>
      <c:catAx>
        <c:axId val="16413292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1328319"/>
        <c:crosses val="autoZero"/>
        <c:auto val="1"/>
        <c:lblAlgn val="ctr"/>
        <c:lblOffset val="100"/>
        <c:noMultiLvlLbl val="0"/>
      </c:catAx>
      <c:valAx>
        <c:axId val="164132831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1329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533400</xdr:colOff>
      <xdr:row>6</xdr:row>
      <xdr:rowOff>41910</xdr:rowOff>
    </xdr:from>
    <xdr:to>
      <xdr:col>11</xdr:col>
      <xdr:colOff>228600</xdr:colOff>
      <xdr:row>21</xdr:row>
      <xdr:rowOff>41910</xdr:rowOff>
    </xdr:to>
    <xdr:graphicFrame macro="">
      <xdr:nvGraphicFramePr>
        <xdr:cNvPr id="2" name="Chart 1">
          <a:extLst>
            <a:ext uri="{FF2B5EF4-FFF2-40B4-BE49-F238E27FC236}">
              <a16:creationId xmlns:a16="http://schemas.microsoft.com/office/drawing/2014/main" id="{6B269BCB-A8D0-1820-1455-BE97DFE072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274320</xdr:colOff>
      <xdr:row>6</xdr:row>
      <xdr:rowOff>41910</xdr:rowOff>
    </xdr:from>
    <xdr:to>
      <xdr:col>10</xdr:col>
      <xdr:colOff>579120</xdr:colOff>
      <xdr:row>21</xdr:row>
      <xdr:rowOff>41910</xdr:rowOff>
    </xdr:to>
    <xdr:graphicFrame macro="">
      <xdr:nvGraphicFramePr>
        <xdr:cNvPr id="2" name="Chart 1">
          <a:extLst>
            <a:ext uri="{FF2B5EF4-FFF2-40B4-BE49-F238E27FC236}">
              <a16:creationId xmlns:a16="http://schemas.microsoft.com/office/drawing/2014/main" id="{178B8C4A-68FB-CC18-2DBA-E8CB4DFB83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274320</xdr:colOff>
      <xdr:row>33</xdr:row>
      <xdr:rowOff>41910</xdr:rowOff>
    </xdr:from>
    <xdr:to>
      <xdr:col>10</xdr:col>
      <xdr:colOff>579120</xdr:colOff>
      <xdr:row>48</xdr:row>
      <xdr:rowOff>41910</xdr:rowOff>
    </xdr:to>
    <xdr:graphicFrame macro="">
      <xdr:nvGraphicFramePr>
        <xdr:cNvPr id="3" name="Chart 2">
          <a:extLst>
            <a:ext uri="{FF2B5EF4-FFF2-40B4-BE49-F238E27FC236}">
              <a16:creationId xmlns:a16="http://schemas.microsoft.com/office/drawing/2014/main" id="{7EEDE709-CF42-C330-9FFD-5EA16E9494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243840</xdr:colOff>
      <xdr:row>63</xdr:row>
      <xdr:rowOff>41910</xdr:rowOff>
    </xdr:from>
    <xdr:to>
      <xdr:col>10</xdr:col>
      <xdr:colOff>548640</xdr:colOff>
      <xdr:row>78</xdr:row>
      <xdr:rowOff>41910</xdr:rowOff>
    </xdr:to>
    <xdr:graphicFrame macro="">
      <xdr:nvGraphicFramePr>
        <xdr:cNvPr id="4" name="Chart 3">
          <a:extLst>
            <a:ext uri="{FF2B5EF4-FFF2-40B4-BE49-F238E27FC236}">
              <a16:creationId xmlns:a16="http://schemas.microsoft.com/office/drawing/2014/main" id="{7FCFE808-CF23-CF13-DD36-53ED2E01E3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146976</xdr:colOff>
      <xdr:row>2</xdr:row>
      <xdr:rowOff>23195</xdr:rowOff>
    </xdr:from>
    <xdr:to>
      <xdr:col>8</xdr:col>
      <xdr:colOff>443298</xdr:colOff>
      <xdr:row>14</xdr:row>
      <xdr:rowOff>146000</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791D18B5-E93F-06EF-D211-5AFFE128B9B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804576" y="378795"/>
              <a:ext cx="1769522" cy="22564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441676</xdr:colOff>
      <xdr:row>2</xdr:row>
      <xdr:rowOff>17100</xdr:rowOff>
    </xdr:from>
    <xdr:to>
      <xdr:col>10</xdr:col>
      <xdr:colOff>448759</xdr:colOff>
      <xdr:row>14</xdr:row>
      <xdr:rowOff>108673</xdr:rowOff>
    </xdr:to>
    <mc:AlternateContent xmlns:mc="http://schemas.openxmlformats.org/markup-compatibility/2006">
      <mc:Choice xmlns:a14="http://schemas.microsoft.com/office/drawing/2010/main" Requires="a14">
        <xdr:graphicFrame macro="">
          <xdr:nvGraphicFramePr>
            <xdr:cNvPr id="3" name="Product Category">
              <a:extLst>
                <a:ext uri="{FF2B5EF4-FFF2-40B4-BE49-F238E27FC236}">
                  <a16:creationId xmlns:a16="http://schemas.microsoft.com/office/drawing/2014/main" id="{E7B75ED3-4B97-6016-4076-3A06B8E37AB3}"/>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5572476" y="372700"/>
              <a:ext cx="1746983" cy="22251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xdr:row>
      <xdr:rowOff>32084</xdr:rowOff>
    </xdr:from>
    <xdr:to>
      <xdr:col>6</xdr:col>
      <xdr:colOff>101898</xdr:colOff>
      <xdr:row>14</xdr:row>
      <xdr:rowOff>184114</xdr:rowOff>
    </xdr:to>
    <xdr:graphicFrame macro="">
      <xdr:nvGraphicFramePr>
        <xdr:cNvPr id="7" name="Chart 6">
          <a:extLst>
            <a:ext uri="{FF2B5EF4-FFF2-40B4-BE49-F238E27FC236}">
              <a16:creationId xmlns:a16="http://schemas.microsoft.com/office/drawing/2014/main" id="{1727FAD3-98A5-4CDA-86FD-693E0CD53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144792</xdr:rowOff>
    </xdr:from>
    <xdr:to>
      <xdr:col>6</xdr:col>
      <xdr:colOff>75127</xdr:colOff>
      <xdr:row>29</xdr:row>
      <xdr:rowOff>20311</xdr:rowOff>
    </xdr:to>
    <xdr:graphicFrame macro="">
      <xdr:nvGraphicFramePr>
        <xdr:cNvPr id="8" name="Chart 7">
          <a:extLst>
            <a:ext uri="{FF2B5EF4-FFF2-40B4-BE49-F238E27FC236}">
              <a16:creationId xmlns:a16="http://schemas.microsoft.com/office/drawing/2014/main" id="{389D0783-363A-4146-BF39-F734640FEB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92408</xdr:colOff>
      <xdr:row>14</xdr:row>
      <xdr:rowOff>109508</xdr:rowOff>
    </xdr:from>
    <xdr:to>
      <xdr:col>11</xdr:col>
      <xdr:colOff>167535</xdr:colOff>
      <xdr:row>28</xdr:row>
      <xdr:rowOff>152399</xdr:rowOff>
    </xdr:to>
    <xdr:graphicFrame macro="">
      <xdr:nvGraphicFramePr>
        <xdr:cNvPr id="9" name="Chart 8">
          <a:extLst>
            <a:ext uri="{FF2B5EF4-FFF2-40B4-BE49-F238E27FC236}">
              <a16:creationId xmlns:a16="http://schemas.microsoft.com/office/drawing/2014/main" id="{7E2F3013-FA1F-481D-AC09-57E6901B19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180812</xdr:colOff>
      <xdr:row>14</xdr:row>
      <xdr:rowOff>90408</xdr:rowOff>
    </xdr:from>
    <xdr:to>
      <xdr:col>18</xdr:col>
      <xdr:colOff>581187</xdr:colOff>
      <xdr:row>28</xdr:row>
      <xdr:rowOff>142068</xdr:rowOff>
    </xdr:to>
    <xdr:graphicFrame macro="">
      <xdr:nvGraphicFramePr>
        <xdr:cNvPr id="10" name="Chart 9">
          <a:extLst>
            <a:ext uri="{FF2B5EF4-FFF2-40B4-BE49-F238E27FC236}">
              <a16:creationId xmlns:a16="http://schemas.microsoft.com/office/drawing/2014/main" id="{86E41BC5-C31D-4E3D-987E-36623B0354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438664</xdr:colOff>
      <xdr:row>2</xdr:row>
      <xdr:rowOff>12918</xdr:rowOff>
    </xdr:from>
    <xdr:to>
      <xdr:col>18</xdr:col>
      <xdr:colOff>606876</xdr:colOff>
      <xdr:row>14</xdr:row>
      <xdr:rowOff>103323</xdr:rowOff>
    </xdr:to>
    <xdr:pic>
      <xdr:nvPicPr>
        <xdr:cNvPr id="13" name="Picture 12">
          <a:extLst>
            <a:ext uri="{FF2B5EF4-FFF2-40B4-BE49-F238E27FC236}">
              <a16:creationId xmlns:a16="http://schemas.microsoft.com/office/drawing/2014/main" id="{06D236FA-0395-193C-D276-68AC536683C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336769" y="387234"/>
          <a:ext cx="5095411" cy="2336300"/>
        </a:xfrm>
        <a:prstGeom prst="rect">
          <a:avLst/>
        </a:prstGeom>
      </xdr:spPr>
    </xdr:pic>
    <xdr:clientData/>
  </xdr:twoCellAnchor>
  <xdr:twoCellAnchor>
    <xdr:from>
      <xdr:col>0</xdr:col>
      <xdr:colOff>192910</xdr:colOff>
      <xdr:row>30</xdr:row>
      <xdr:rowOff>133515</xdr:rowOff>
    </xdr:from>
    <xdr:to>
      <xdr:col>4</xdr:col>
      <xdr:colOff>601579</xdr:colOff>
      <xdr:row>38</xdr:row>
      <xdr:rowOff>26738</xdr:rowOff>
    </xdr:to>
    <xdr:sp macro="" textlink="">
      <xdr:nvSpPr>
        <xdr:cNvPr id="14" name="Rectangle: Rounded Corners 13">
          <a:extLst>
            <a:ext uri="{FF2B5EF4-FFF2-40B4-BE49-F238E27FC236}">
              <a16:creationId xmlns:a16="http://schemas.microsoft.com/office/drawing/2014/main" id="{8A3147C8-461E-FEF1-FF99-902B4CDA46FC}"/>
            </a:ext>
          </a:extLst>
        </xdr:cNvPr>
        <xdr:cNvSpPr/>
      </xdr:nvSpPr>
      <xdr:spPr>
        <a:xfrm>
          <a:off x="192910" y="5748252"/>
          <a:ext cx="2868458" cy="13904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0" i="0" u="none" strike="noStrike">
              <a:solidFill>
                <a:schemeClr val="lt1"/>
              </a:solidFill>
              <a:effectLst/>
              <a:latin typeface="+mn-lt"/>
              <a:ea typeface="+mn-ea"/>
              <a:cs typeface="+mn-cs"/>
            </a:rPr>
            <a:t>Total Sales</a:t>
          </a:r>
          <a:br>
            <a:rPr lang="en-IN" sz="2000" b="0" i="0" u="none" strike="noStrike">
              <a:solidFill>
                <a:schemeClr val="lt1"/>
              </a:solidFill>
              <a:effectLst/>
              <a:latin typeface="+mn-lt"/>
              <a:ea typeface="+mn-ea"/>
              <a:cs typeface="+mn-cs"/>
            </a:rPr>
          </a:br>
          <a:r>
            <a:rPr lang="en-IN" sz="3600" b="1" i="0" u="none" strike="noStrike">
              <a:solidFill>
                <a:schemeClr val="lt1"/>
              </a:solidFill>
              <a:effectLst/>
              <a:latin typeface="+mn-lt"/>
              <a:ea typeface="+mn-ea"/>
              <a:cs typeface="+mn-cs"/>
            </a:rPr>
            <a:t>8.12</a:t>
          </a:r>
          <a:r>
            <a:rPr lang="en-IN" sz="2000"/>
            <a:t>  </a:t>
          </a:r>
        </a:p>
      </xdr:txBody>
    </xdr:sp>
    <xdr:clientData/>
  </xdr:twoCellAnchor>
  <xdr:twoCellAnchor>
    <xdr:from>
      <xdr:col>5</xdr:col>
      <xdr:colOff>77673</xdr:colOff>
      <xdr:row>30</xdr:row>
      <xdr:rowOff>106945</xdr:rowOff>
    </xdr:from>
    <xdr:to>
      <xdr:col>8</xdr:col>
      <xdr:colOff>975895</xdr:colOff>
      <xdr:row>37</xdr:row>
      <xdr:rowOff>133683</xdr:rowOff>
    </xdr:to>
    <xdr:sp macro="" textlink="">
      <xdr:nvSpPr>
        <xdr:cNvPr id="15" name="Rectangle: Rounded Corners 14">
          <a:extLst>
            <a:ext uri="{FF2B5EF4-FFF2-40B4-BE49-F238E27FC236}">
              <a16:creationId xmlns:a16="http://schemas.microsoft.com/office/drawing/2014/main" id="{65582B66-B816-4C24-9B04-3FC376F6960A}"/>
            </a:ext>
          </a:extLst>
        </xdr:cNvPr>
        <xdr:cNvSpPr/>
      </xdr:nvSpPr>
      <xdr:spPr>
        <a:xfrm>
          <a:off x="3152410" y="5721682"/>
          <a:ext cx="2983696" cy="133684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0" i="0" u="none" strike="noStrike">
              <a:solidFill>
                <a:schemeClr val="lt1"/>
              </a:solidFill>
              <a:effectLst/>
              <a:latin typeface="+mn-lt"/>
              <a:ea typeface="+mn-ea"/>
              <a:cs typeface="+mn-cs"/>
            </a:rPr>
            <a:t>Total Profit</a:t>
          </a:r>
          <a:br>
            <a:rPr lang="en-IN" sz="2000" b="0" i="0" u="none" strike="noStrike">
              <a:solidFill>
                <a:schemeClr val="lt1"/>
              </a:solidFill>
              <a:effectLst/>
              <a:latin typeface="+mn-lt"/>
              <a:ea typeface="+mn-ea"/>
              <a:cs typeface="+mn-cs"/>
            </a:rPr>
          </a:br>
          <a:r>
            <a:rPr lang="en-IN" sz="3200" b="1" i="0" u="none" strike="noStrike">
              <a:solidFill>
                <a:schemeClr val="lt1"/>
              </a:solidFill>
              <a:effectLst/>
              <a:latin typeface="+mn-lt"/>
              <a:ea typeface="+mn-ea"/>
              <a:cs typeface="+mn-cs"/>
            </a:rPr>
            <a:t>8429098</a:t>
          </a:r>
          <a:r>
            <a:rPr lang="en-IN" sz="3200" b="1"/>
            <a:t>  </a:t>
          </a:r>
        </a:p>
      </xdr:txBody>
    </xdr:sp>
    <xdr:clientData/>
  </xdr:twoCellAnchor>
  <xdr:twoCellAnchor>
    <xdr:from>
      <xdr:col>8</xdr:col>
      <xdr:colOff>1103969</xdr:colOff>
      <xdr:row>30</xdr:row>
      <xdr:rowOff>102842</xdr:rowOff>
    </xdr:from>
    <xdr:to>
      <xdr:col>13</xdr:col>
      <xdr:colOff>435811</xdr:colOff>
      <xdr:row>37</xdr:row>
      <xdr:rowOff>76199</xdr:rowOff>
    </xdr:to>
    <xdr:sp macro="" textlink="">
      <xdr:nvSpPr>
        <xdr:cNvPr id="16" name="Rectangle: Rounded Corners 15">
          <a:extLst>
            <a:ext uri="{FF2B5EF4-FFF2-40B4-BE49-F238E27FC236}">
              <a16:creationId xmlns:a16="http://schemas.microsoft.com/office/drawing/2014/main" id="{6071FB21-C22D-49E5-B9BD-487385A9E6DF}"/>
            </a:ext>
          </a:extLst>
        </xdr:cNvPr>
        <xdr:cNvSpPr/>
      </xdr:nvSpPr>
      <xdr:spPr>
        <a:xfrm>
          <a:off x="6234769" y="5436842"/>
          <a:ext cx="2900542" cy="1217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0" i="0" u="none" strike="noStrike">
              <a:solidFill>
                <a:schemeClr val="lt1"/>
              </a:solidFill>
              <a:effectLst/>
              <a:latin typeface="+mn-lt"/>
              <a:ea typeface="+mn-ea"/>
              <a:cs typeface="+mn-cs"/>
            </a:rPr>
            <a:t>Extract month from column B (Order Date)</a:t>
          </a:r>
          <a:r>
            <a:rPr lang="en-IN" sz="1400"/>
            <a:t> </a:t>
          </a:r>
          <a:endParaRPr lang="en-IN" sz="2800"/>
        </a:p>
        <a:p>
          <a:pPr algn="ctr"/>
          <a:r>
            <a:rPr lang="en-IN" sz="2800" b="1" i="0" u="none" strike="noStrike">
              <a:solidFill>
                <a:schemeClr val="lt1"/>
              </a:solidFill>
              <a:effectLst/>
              <a:latin typeface="+mn-lt"/>
              <a:ea typeface="+mn-ea"/>
              <a:cs typeface="+mn-cs"/>
            </a:rPr>
            <a:t>May</a:t>
          </a:r>
          <a:r>
            <a:rPr lang="en-IN" sz="2800" b="1"/>
            <a:t>   </a:t>
          </a:r>
        </a:p>
      </xdr:txBody>
    </xdr:sp>
    <xdr:clientData/>
  </xdr:twoCellAnchor>
  <xdr:twoCellAnchor>
    <xdr:from>
      <xdr:col>13</xdr:col>
      <xdr:colOff>600242</xdr:colOff>
      <xdr:row>30</xdr:row>
      <xdr:rowOff>131584</xdr:rowOff>
    </xdr:from>
    <xdr:to>
      <xdr:col>19</xdr:col>
      <xdr:colOff>28073</xdr:colOff>
      <xdr:row>37</xdr:row>
      <xdr:rowOff>126999</xdr:rowOff>
    </xdr:to>
    <xdr:sp macro="" textlink="">
      <xdr:nvSpPr>
        <xdr:cNvPr id="17" name="Rectangle: Rounded Corners 16">
          <a:extLst>
            <a:ext uri="{FF2B5EF4-FFF2-40B4-BE49-F238E27FC236}">
              <a16:creationId xmlns:a16="http://schemas.microsoft.com/office/drawing/2014/main" id="{594D0381-012E-4862-9C14-18E92A3B551D}"/>
            </a:ext>
          </a:extLst>
        </xdr:cNvPr>
        <xdr:cNvSpPr/>
      </xdr:nvSpPr>
      <xdr:spPr>
        <a:xfrm>
          <a:off x="9299742" y="5465584"/>
          <a:ext cx="3085431" cy="124001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0" i="0" u="none" strike="noStrike">
              <a:solidFill>
                <a:schemeClr val="lt1"/>
              </a:solidFill>
              <a:effectLst/>
              <a:latin typeface="+mn-lt"/>
              <a:ea typeface="+mn-ea"/>
              <a:cs typeface="+mn-cs"/>
            </a:rPr>
            <a:t>Average Monthly Sales</a:t>
          </a:r>
          <a:r>
            <a:rPr lang="en-IN" sz="2000"/>
            <a:t> </a:t>
          </a:r>
          <a:br>
            <a:rPr lang="en-IN" sz="2000" b="0" i="0" u="none" strike="noStrike">
              <a:solidFill>
                <a:schemeClr val="lt1"/>
              </a:solidFill>
              <a:effectLst/>
              <a:latin typeface="+mn-lt"/>
              <a:ea typeface="+mn-ea"/>
              <a:cs typeface="+mn-cs"/>
            </a:rPr>
          </a:br>
          <a:r>
            <a:rPr lang="en-IN" sz="2800" b="1" i="0" u="none" strike="noStrike">
              <a:solidFill>
                <a:schemeClr val="lt1"/>
              </a:solidFill>
              <a:effectLst/>
              <a:latin typeface="+mn-lt"/>
              <a:ea typeface="+mn-ea"/>
              <a:cs typeface="+mn-cs"/>
            </a:rPr>
            <a:t>0.1624</a:t>
          </a:r>
          <a:r>
            <a:rPr lang="en-IN" sz="2800" b="1"/>
            <a:t>  </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uvan T D" refreshedDate="45864.979321527775" createdVersion="8" refreshedVersion="8" minRefreshableVersion="3" recordCount="50" xr:uid="{8FE1C2BE-D49F-42AC-B3F9-9C04E2517D98}">
  <cacheSource type="worksheet">
    <worksheetSource name="SalesData"/>
  </cacheSource>
  <cacheFields count="13">
    <cacheField name="Order ID" numFmtId="0">
      <sharedItems/>
    </cacheField>
    <cacheField name="Order Date" numFmtId="164">
      <sharedItems containsSemiMixedTypes="0" containsNonDate="0" containsDate="1" containsString="0" minDate="2025-01-24T00:00:00" maxDate="2025-07-26T00:00:00" count="45">
        <d v="2025-05-18T00:00:00"/>
        <d v="2025-06-24T00:00:00"/>
        <d v="2025-06-29T00:00:00"/>
        <d v="2025-04-19T00:00:00"/>
        <d v="2025-04-28T00:00:00"/>
        <d v="2025-06-22T00:00:00"/>
        <d v="2025-01-24T00:00:00"/>
        <d v="2025-07-25T00:00:00"/>
        <d v="2025-07-19T00:00:00"/>
        <d v="2025-04-15T00:00:00"/>
        <d v="2025-06-18T00:00:00"/>
        <d v="2025-02-12T00:00:00"/>
        <d v="2025-02-18T00:00:00"/>
        <d v="2025-05-15T00:00:00"/>
        <d v="2025-05-07T00:00:00"/>
        <d v="2025-05-25T00:00:00"/>
        <d v="2025-04-06T00:00:00"/>
        <d v="2025-06-03T00:00:00"/>
        <d v="2025-03-20T00:00:00"/>
        <d v="2025-05-06T00:00:00"/>
        <d v="2025-02-02T00:00:00"/>
        <d v="2025-03-07T00:00:00"/>
        <d v="2025-02-20T00:00:00"/>
        <d v="2025-02-25T00:00:00"/>
        <d v="2025-06-28T00:00:00"/>
        <d v="2025-06-15T00:00:00"/>
        <d v="2025-04-27T00:00:00"/>
        <d v="2025-05-01T00:00:00"/>
        <d v="2025-03-21T00:00:00"/>
        <d v="2025-03-19T00:00:00"/>
        <d v="2025-04-11T00:00:00"/>
        <d v="2025-04-17T00:00:00"/>
        <d v="2025-07-11T00:00:00"/>
        <d v="2025-01-27T00:00:00"/>
        <d v="2025-03-29T00:00:00"/>
        <d v="2025-07-15T00:00:00"/>
        <d v="2025-05-08T00:00:00"/>
        <d v="2025-07-02T00:00:00"/>
        <d v="2025-06-21T00:00:00"/>
        <d v="2025-07-20T00:00:00"/>
        <d v="2025-07-05T00:00:00"/>
        <d v="2025-05-29T00:00:00"/>
        <d v="2025-05-05T00:00:00"/>
        <d v="2025-05-23T00:00:00"/>
        <d v="2025-01-28T00:00:00"/>
      </sharedItems>
      <fieldGroup par="12"/>
    </cacheField>
    <cacheField name="Region" numFmtId="0">
      <sharedItems count="4">
        <s v="East"/>
        <s v="South"/>
        <s v="West"/>
        <s v="North"/>
      </sharedItems>
    </cacheField>
    <cacheField name="Customer Name" numFmtId="0">
      <sharedItems/>
    </cacheField>
    <cacheField name="Product Category" numFmtId="0">
      <sharedItems count="3">
        <s v="Office Supplies"/>
        <s v="Furniture"/>
        <s v="Electronics"/>
      </sharedItems>
    </cacheField>
    <cacheField name="Product Name" numFmtId="0">
      <sharedItems count="10">
        <s v="Notebook"/>
        <s v="Chair"/>
        <s v="Desk"/>
        <s v="Mouse"/>
        <s v="Pen"/>
        <s v="Stapler"/>
        <s v="Bookshelf"/>
        <s v="Laptop"/>
        <s v="Headphones"/>
        <s v="Monitor"/>
      </sharedItems>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877" maxValue="49302"/>
    </cacheField>
    <cacheField name="Profit" numFmtId="0">
      <sharedItems containsSemiMixedTypes="0" containsString="0" containsNumber="1" minValue="313.49" maxValue="127812.64"/>
    </cacheField>
    <cacheField name="Total Sales" numFmtId="0">
      <sharedItems containsSemiMixedTypes="0" containsString="0" containsNumber="1" containsInteger="1" minValue="5174" maxValue="479740"/>
    </cacheField>
    <cacheField name="Profit Margin" numFmtId="0">
      <sharedItems containsSemiMixedTypes="0" containsString="0" containsNumber="1" minValue="0.05" maxValue="0.3"/>
    </cacheField>
    <cacheField name="Months (Order Date)" numFmtId="0" databaseField="0">
      <fieldGroup base="1">
        <rangePr groupBy="months" startDate="2025-01-24T00:00:00" endDate="2025-07-26T00:00:00"/>
        <groupItems count="14">
          <s v="&lt;24-01-2025"/>
          <s v="Jan"/>
          <s v="Feb"/>
          <s v="Mar"/>
          <s v="Apr"/>
          <s v="May"/>
          <s v="Jun"/>
          <s v="Jul"/>
          <s v="Aug"/>
          <s v="Sep"/>
          <s v="Oct"/>
          <s v="Nov"/>
          <s v="Dec"/>
          <s v="&gt;26-07-2025"/>
        </groupItems>
      </fieldGroup>
    </cacheField>
    <cacheField name="Years (Order Date)" numFmtId="0" databaseField="0">
      <fieldGroup base="1">
        <rangePr groupBy="years" startDate="2025-01-24T00:00:00" endDate="2025-07-26T00:00:00"/>
        <groupItems count="3">
          <s v="&lt;24-01-2025"/>
          <s v="2025"/>
          <s v="&gt;26-07-2025"/>
        </groupItems>
      </fieldGroup>
    </cacheField>
  </cacheFields>
  <extLst>
    <ext xmlns:x14="http://schemas.microsoft.com/office/spreadsheetml/2009/9/main" uri="{725AE2AE-9491-48be-B2B4-4EB974FC3084}">
      <x14:pivotCacheDefinition pivotCacheId="2258129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ORD0001"/>
    <x v="0"/>
    <x v="0"/>
    <s v="Angela Gould"/>
    <x v="0"/>
    <x v="0"/>
    <n v="8"/>
    <n v="47654"/>
    <n v="59874.94"/>
    <n v="381232"/>
    <n v="0.16"/>
  </r>
  <r>
    <s v="ORD0002"/>
    <x v="1"/>
    <x v="1"/>
    <s v="John Mccoy"/>
    <x v="1"/>
    <x v="1"/>
    <n v="8"/>
    <n v="10651"/>
    <n v="22052.83"/>
    <n v="85208"/>
    <n v="0.26"/>
  </r>
  <r>
    <s v="ORD0003"/>
    <x v="2"/>
    <x v="2"/>
    <s v="James Wilson"/>
    <x v="1"/>
    <x v="2"/>
    <n v="10"/>
    <n v="47974"/>
    <n v="75151.429999999993"/>
    <n v="479740"/>
    <n v="0.16"/>
  </r>
  <r>
    <s v="ORD0004"/>
    <x v="3"/>
    <x v="2"/>
    <s v="Heather Patrick"/>
    <x v="2"/>
    <x v="3"/>
    <n v="8"/>
    <n v="29305"/>
    <n v="37973.370000000003"/>
    <n v="234440"/>
    <n v="0.16"/>
  </r>
  <r>
    <s v="ORD0005"/>
    <x v="4"/>
    <x v="0"/>
    <s v="Michael Todd"/>
    <x v="0"/>
    <x v="4"/>
    <n v="10"/>
    <n v="18151"/>
    <n v="12923.66"/>
    <n v="181510"/>
    <n v="7.0000000000000007E-2"/>
  </r>
  <r>
    <s v="ORD0006"/>
    <x v="5"/>
    <x v="2"/>
    <s v="Michael Little"/>
    <x v="1"/>
    <x v="1"/>
    <n v="9"/>
    <n v="27713"/>
    <n v="21696.36"/>
    <n v="249417"/>
    <n v="0.09"/>
  </r>
  <r>
    <s v="ORD0007"/>
    <x v="6"/>
    <x v="2"/>
    <s v="Sarah Davis"/>
    <x v="0"/>
    <x v="5"/>
    <n v="10"/>
    <n v="11419"/>
    <n v="8704.8700000000008"/>
    <n v="114190"/>
    <n v="0.08"/>
  </r>
  <r>
    <s v="ORD0008"/>
    <x v="7"/>
    <x v="1"/>
    <s v="Bethany Rogers"/>
    <x v="0"/>
    <x v="4"/>
    <n v="7"/>
    <n v="35328"/>
    <n v="64170.31"/>
    <n v="247296"/>
    <n v="0.26"/>
  </r>
  <r>
    <s v="ORD0009"/>
    <x v="8"/>
    <x v="2"/>
    <s v="Abigail Hodges"/>
    <x v="0"/>
    <x v="0"/>
    <n v="3"/>
    <n v="43519"/>
    <n v="8125.39"/>
    <n v="130557"/>
    <n v="0.06"/>
  </r>
  <r>
    <s v="ORD0010"/>
    <x v="9"/>
    <x v="0"/>
    <s v="Patrick Valdez"/>
    <x v="2"/>
    <x v="3"/>
    <n v="9"/>
    <n v="15247"/>
    <n v="18388.3"/>
    <n v="137223"/>
    <n v="0.13"/>
  </r>
  <r>
    <s v="ORD0011"/>
    <x v="10"/>
    <x v="3"/>
    <s v="Frederick Collins"/>
    <x v="1"/>
    <x v="1"/>
    <n v="8"/>
    <n v="877"/>
    <n v="929"/>
    <n v="7016"/>
    <n v="0.13"/>
  </r>
  <r>
    <s v="ORD0012"/>
    <x v="11"/>
    <x v="3"/>
    <s v="Wesley Morris"/>
    <x v="0"/>
    <x v="4"/>
    <n v="5"/>
    <n v="45292"/>
    <n v="34899.11"/>
    <n v="226460"/>
    <n v="0.15"/>
  </r>
  <r>
    <s v="ORD0013"/>
    <x v="12"/>
    <x v="1"/>
    <s v="Rachel Hall"/>
    <x v="0"/>
    <x v="0"/>
    <n v="5"/>
    <n v="28860"/>
    <n v="29380.51"/>
    <n v="144300"/>
    <n v="0.2"/>
  </r>
  <r>
    <s v="ORD0014"/>
    <x v="13"/>
    <x v="2"/>
    <s v="Paul Johnson"/>
    <x v="1"/>
    <x v="6"/>
    <n v="3"/>
    <n v="28835"/>
    <n v="11361.4"/>
    <n v="86505"/>
    <n v="0.13"/>
  </r>
  <r>
    <s v="ORD0015"/>
    <x v="14"/>
    <x v="3"/>
    <s v="Nicole Anderson"/>
    <x v="2"/>
    <x v="7"/>
    <n v="10"/>
    <n v="31275"/>
    <n v="42948.62"/>
    <n v="312750"/>
    <n v="0.14000000000000001"/>
  </r>
  <r>
    <s v="ORD0016"/>
    <x v="15"/>
    <x v="1"/>
    <s v="David Graham"/>
    <x v="2"/>
    <x v="8"/>
    <n v="9"/>
    <n v="16342"/>
    <n v="36468.51"/>
    <n v="147078"/>
    <n v="0.25"/>
  </r>
  <r>
    <s v="ORD0017"/>
    <x v="16"/>
    <x v="3"/>
    <s v="Edward Johnson"/>
    <x v="0"/>
    <x v="5"/>
    <n v="3"/>
    <n v="11709"/>
    <n v="2161.5"/>
    <n v="35127"/>
    <n v="0.06"/>
  </r>
  <r>
    <s v="ORD0018"/>
    <x v="17"/>
    <x v="0"/>
    <s v="Wendy May"/>
    <x v="0"/>
    <x v="0"/>
    <n v="7"/>
    <n v="35584"/>
    <n v="45901.93"/>
    <n v="249088"/>
    <n v="0.18"/>
  </r>
  <r>
    <s v="ORD0019"/>
    <x v="18"/>
    <x v="3"/>
    <s v="Catherine Jones"/>
    <x v="1"/>
    <x v="1"/>
    <n v="5"/>
    <n v="19806"/>
    <n v="17988.14"/>
    <n v="99030"/>
    <n v="0.18"/>
  </r>
  <r>
    <s v="ORD0020"/>
    <x v="19"/>
    <x v="3"/>
    <s v="Veronica Gray"/>
    <x v="2"/>
    <x v="9"/>
    <n v="1"/>
    <n v="19637"/>
    <n v="5813.37"/>
    <n v="19637"/>
    <n v="0.3"/>
  </r>
  <r>
    <s v="ORD0021"/>
    <x v="20"/>
    <x v="1"/>
    <s v="Victor Sanders"/>
    <x v="2"/>
    <x v="8"/>
    <n v="7"/>
    <n v="33736"/>
    <n v="18400.14"/>
    <n v="236152"/>
    <n v="0.08"/>
  </r>
  <r>
    <s v="ORD0022"/>
    <x v="21"/>
    <x v="3"/>
    <s v="Ricky Small"/>
    <x v="2"/>
    <x v="9"/>
    <n v="3"/>
    <n v="5311"/>
    <n v="4182.55"/>
    <n v="15933"/>
    <n v="0.26"/>
  </r>
  <r>
    <s v="ORD0023"/>
    <x v="22"/>
    <x v="0"/>
    <s v="Cindy Hill"/>
    <x v="1"/>
    <x v="2"/>
    <n v="5"/>
    <n v="49302"/>
    <n v="28469.35"/>
    <n v="246510"/>
    <n v="0.12"/>
  </r>
  <r>
    <s v="ORD0024"/>
    <x v="23"/>
    <x v="3"/>
    <s v="Jackie Nelson"/>
    <x v="0"/>
    <x v="4"/>
    <n v="6"/>
    <n v="46010"/>
    <n v="58318.51"/>
    <n v="276060"/>
    <n v="0.21"/>
  </r>
  <r>
    <s v="ORD0025"/>
    <x v="24"/>
    <x v="1"/>
    <s v="Corey Dawson"/>
    <x v="2"/>
    <x v="7"/>
    <n v="2"/>
    <n v="49111"/>
    <n v="6242.81"/>
    <n v="98222"/>
    <n v="0.06"/>
  </r>
  <r>
    <s v="ORD0026"/>
    <x v="25"/>
    <x v="3"/>
    <s v="Alexis Orr"/>
    <x v="1"/>
    <x v="6"/>
    <n v="6"/>
    <n v="24668"/>
    <n v="20013.93"/>
    <n v="148008"/>
    <n v="0.14000000000000001"/>
  </r>
  <r>
    <s v="ORD0027"/>
    <x v="26"/>
    <x v="2"/>
    <s v="Brett Jackson"/>
    <x v="2"/>
    <x v="9"/>
    <n v="5"/>
    <n v="42107"/>
    <n v="24919.85"/>
    <n v="210535"/>
    <n v="0.12"/>
  </r>
  <r>
    <s v="ORD0028"/>
    <x v="27"/>
    <x v="2"/>
    <s v="Elizabeth Morrison"/>
    <x v="0"/>
    <x v="0"/>
    <n v="2"/>
    <n v="2587"/>
    <n v="313.49"/>
    <n v="5174"/>
    <n v="0.06"/>
  </r>
  <r>
    <s v="ORD0029"/>
    <x v="28"/>
    <x v="3"/>
    <s v="Lori Ellison"/>
    <x v="0"/>
    <x v="4"/>
    <n v="10"/>
    <n v="24196"/>
    <n v="32985.279999999999"/>
    <n v="241960"/>
    <n v="0.14000000000000001"/>
  </r>
  <r>
    <s v="ORD0030"/>
    <x v="29"/>
    <x v="1"/>
    <s v="Kelly George"/>
    <x v="0"/>
    <x v="5"/>
    <n v="4"/>
    <n v="3669"/>
    <n v="2732.96"/>
    <n v="14676"/>
    <n v="0.19"/>
  </r>
  <r>
    <s v="ORD0031"/>
    <x v="30"/>
    <x v="3"/>
    <s v="Anna Morton"/>
    <x v="2"/>
    <x v="9"/>
    <n v="3"/>
    <n v="5371"/>
    <n v="1359.54"/>
    <n v="16113"/>
    <n v="0.08"/>
  </r>
  <r>
    <s v="ORD0032"/>
    <x v="1"/>
    <x v="3"/>
    <s v="Diana Martin"/>
    <x v="2"/>
    <x v="7"/>
    <n v="5"/>
    <n v="7380"/>
    <n v="1907.85"/>
    <n v="36900"/>
    <n v="0.05"/>
  </r>
  <r>
    <s v="ORD0033"/>
    <x v="31"/>
    <x v="3"/>
    <s v="Zachary Blackwell"/>
    <x v="2"/>
    <x v="9"/>
    <n v="10"/>
    <n v="47065"/>
    <n v="24614.13"/>
    <n v="470650"/>
    <n v="0.05"/>
  </r>
  <r>
    <s v="ORD0034"/>
    <x v="6"/>
    <x v="2"/>
    <s v="Christopher Lowe"/>
    <x v="0"/>
    <x v="5"/>
    <n v="4"/>
    <n v="24120"/>
    <n v="20949.02"/>
    <n v="96480"/>
    <n v="0.22"/>
  </r>
  <r>
    <s v="ORD0035"/>
    <x v="32"/>
    <x v="2"/>
    <s v="Jason Keith"/>
    <x v="2"/>
    <x v="8"/>
    <n v="9"/>
    <n v="45819"/>
    <n v="90401.61"/>
    <n v="412371"/>
    <n v="0.22"/>
  </r>
  <r>
    <s v="ORD0036"/>
    <x v="33"/>
    <x v="3"/>
    <s v="Jamie Downs"/>
    <x v="1"/>
    <x v="2"/>
    <n v="2"/>
    <n v="22138"/>
    <n v="9353.9"/>
    <n v="44276"/>
    <n v="0.21"/>
  </r>
  <r>
    <s v="ORD0037"/>
    <x v="34"/>
    <x v="2"/>
    <s v="Brandon Brown"/>
    <x v="0"/>
    <x v="4"/>
    <n v="6"/>
    <n v="32119"/>
    <n v="56476.959999999999"/>
    <n v="192714"/>
    <n v="0.28999999999999998"/>
  </r>
  <r>
    <s v="ORD0038"/>
    <x v="35"/>
    <x v="2"/>
    <s v="Todd Medina"/>
    <x v="2"/>
    <x v="8"/>
    <n v="1"/>
    <n v="37005"/>
    <n v="9467.73"/>
    <n v="37005"/>
    <n v="0.26"/>
  </r>
  <r>
    <s v="ORD0039"/>
    <x v="36"/>
    <x v="0"/>
    <s v="Stephanie Cook"/>
    <x v="1"/>
    <x v="6"/>
    <n v="9"/>
    <n v="47985"/>
    <n v="127812.64"/>
    <n v="431865"/>
    <n v="0.3"/>
  </r>
  <r>
    <s v="ORD0040"/>
    <x v="37"/>
    <x v="1"/>
    <s v="Susan Schwartz"/>
    <x v="0"/>
    <x v="0"/>
    <n v="4"/>
    <n v="1543"/>
    <n v="836.05"/>
    <n v="6172"/>
    <n v="0.14000000000000001"/>
  </r>
  <r>
    <s v="ORD0041"/>
    <x v="38"/>
    <x v="0"/>
    <s v="Cody Cruz"/>
    <x v="1"/>
    <x v="1"/>
    <n v="7"/>
    <n v="41612"/>
    <n v="60359.47"/>
    <n v="291284"/>
    <n v="0.21"/>
  </r>
  <r>
    <s v="ORD0042"/>
    <x v="0"/>
    <x v="0"/>
    <s v="Gloria Lopez"/>
    <x v="0"/>
    <x v="0"/>
    <n v="1"/>
    <n v="48993"/>
    <n v="12091.48"/>
    <n v="48993"/>
    <n v="0.25"/>
  </r>
  <r>
    <s v="ORD0043"/>
    <x v="39"/>
    <x v="0"/>
    <s v="Tina Mccormick"/>
    <x v="2"/>
    <x v="8"/>
    <n v="6"/>
    <n v="15739"/>
    <n v="23449.3"/>
    <n v="94434"/>
    <n v="0.25"/>
  </r>
  <r>
    <s v="ORD0044"/>
    <x v="40"/>
    <x v="2"/>
    <s v="Christopher Johnson"/>
    <x v="0"/>
    <x v="5"/>
    <n v="10"/>
    <n v="23626"/>
    <n v="20325.37"/>
    <n v="236260"/>
    <n v="0.09"/>
  </r>
  <r>
    <s v="ORD0045"/>
    <x v="41"/>
    <x v="1"/>
    <s v="Ann Mueller"/>
    <x v="0"/>
    <x v="5"/>
    <n v="6"/>
    <n v="26810"/>
    <n v="42012.31"/>
    <n v="160860"/>
    <n v="0.26"/>
  </r>
  <r>
    <s v="ORD0046"/>
    <x v="18"/>
    <x v="0"/>
    <s v="Debra Saunders"/>
    <x v="2"/>
    <x v="3"/>
    <n v="10"/>
    <n v="45849"/>
    <n v="80079.88"/>
    <n v="458490"/>
    <n v="0.17"/>
  </r>
  <r>
    <s v="ORD0047"/>
    <x v="25"/>
    <x v="2"/>
    <s v="Robin Mcmahon"/>
    <x v="1"/>
    <x v="1"/>
    <n v="4"/>
    <n v="41207"/>
    <n v="39165.160000000003"/>
    <n v="164828"/>
    <n v="0.24"/>
  </r>
  <r>
    <s v="ORD0048"/>
    <x v="42"/>
    <x v="3"/>
    <s v="Brenda Green"/>
    <x v="2"/>
    <x v="3"/>
    <n v="1"/>
    <n v="30565"/>
    <n v="2142.41"/>
    <n v="30565"/>
    <n v="7.0000000000000007E-2"/>
  </r>
  <r>
    <s v="ORD0049"/>
    <x v="43"/>
    <x v="1"/>
    <s v="Julia Griffith"/>
    <x v="2"/>
    <x v="7"/>
    <n v="3"/>
    <n v="3716"/>
    <n v="1298.57"/>
    <n v="11148"/>
    <n v="0.12"/>
  </r>
  <r>
    <s v="ORD0050"/>
    <x v="44"/>
    <x v="2"/>
    <s v="Regina Gardner"/>
    <x v="2"/>
    <x v="8"/>
    <n v="4"/>
    <n v="31664"/>
    <n v="14478.97"/>
    <n v="126656"/>
    <n v="0.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EA91A0-3068-4228-BF07-D8E87DB09A75}"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A3:B8" firstHeaderRow="1" firstDataRow="1" firstDataCol="1"/>
  <pivotFields count="13">
    <pivotField showAll="0"/>
    <pivotField numFmtId="164" showAll="0">
      <items count="46">
        <item x="6"/>
        <item x="33"/>
        <item x="44"/>
        <item x="20"/>
        <item x="11"/>
        <item x="12"/>
        <item x="22"/>
        <item x="23"/>
        <item x="21"/>
        <item x="29"/>
        <item x="18"/>
        <item x="28"/>
        <item x="34"/>
        <item x="16"/>
        <item x="30"/>
        <item x="9"/>
        <item x="31"/>
        <item x="3"/>
        <item x="26"/>
        <item x="4"/>
        <item x="27"/>
        <item x="42"/>
        <item x="19"/>
        <item x="14"/>
        <item x="36"/>
        <item x="13"/>
        <item x="0"/>
        <item x="43"/>
        <item x="15"/>
        <item x="41"/>
        <item x="17"/>
        <item x="25"/>
        <item x="10"/>
        <item x="38"/>
        <item x="5"/>
        <item x="1"/>
        <item x="24"/>
        <item x="2"/>
        <item x="37"/>
        <item x="40"/>
        <item x="32"/>
        <item x="35"/>
        <item x="8"/>
        <item x="39"/>
        <item x="7"/>
        <item t="default"/>
      </items>
    </pivotField>
    <pivotField axis="axisRow" showAll="0">
      <items count="5">
        <item x="3"/>
        <item x="1"/>
        <item x="0"/>
        <item x="2"/>
        <item t="default"/>
      </items>
    </pivotField>
    <pivotField showAll="0"/>
    <pivotField showAll="0">
      <items count="4">
        <item x="2"/>
        <item x="1"/>
        <item x="0"/>
        <item t="default"/>
      </items>
    </pivotField>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2"/>
  </rowFields>
  <rowItems count="5">
    <i>
      <x/>
    </i>
    <i>
      <x v="1"/>
    </i>
    <i>
      <x v="2"/>
    </i>
    <i>
      <x v="3"/>
    </i>
    <i t="grand">
      <x/>
    </i>
  </rowItems>
  <colItems count="1">
    <i/>
  </colItems>
  <dataFields count="1">
    <dataField name="Sum of Total Sales" fld="9" baseField="0" baseItem="0"/>
  </dataFields>
  <chartFormats count="4">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8"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C402F7-29DA-4109-8BC6-6D378DF09B57}"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A2:C6" firstHeaderRow="0" firstDataRow="1" firstDataCol="1"/>
  <pivotFields count="13">
    <pivotField showAll="0"/>
    <pivotField numFmtId="164" showAll="0">
      <items count="46">
        <item x="6"/>
        <item x="33"/>
        <item x="44"/>
        <item x="20"/>
        <item x="11"/>
        <item x="12"/>
        <item x="22"/>
        <item x="23"/>
        <item x="21"/>
        <item x="29"/>
        <item x="18"/>
        <item x="28"/>
        <item x="34"/>
        <item x="16"/>
        <item x="30"/>
        <item x="9"/>
        <item x="31"/>
        <item x="3"/>
        <item x="26"/>
        <item x="4"/>
        <item x="27"/>
        <item x="42"/>
        <item x="19"/>
        <item x="14"/>
        <item x="36"/>
        <item x="13"/>
        <item x="0"/>
        <item x="43"/>
        <item x="15"/>
        <item x="41"/>
        <item x="17"/>
        <item x="25"/>
        <item x="10"/>
        <item x="38"/>
        <item x="5"/>
        <item x="1"/>
        <item x="24"/>
        <item x="2"/>
        <item x="37"/>
        <item x="40"/>
        <item x="32"/>
        <item x="35"/>
        <item x="8"/>
        <item x="39"/>
        <item x="7"/>
        <item t="default"/>
      </items>
    </pivotField>
    <pivotField showAll="0">
      <items count="5">
        <item x="3"/>
        <item x="1"/>
        <item x="0"/>
        <item x="2"/>
        <item t="default"/>
      </items>
    </pivotField>
    <pivotField showAll="0"/>
    <pivotField axis="axisRow" showAll="0">
      <items count="4">
        <item x="2"/>
        <item x="1"/>
        <item x="0"/>
        <item t="default"/>
      </items>
    </pivotField>
    <pivotField showAll="0"/>
    <pivotField showAll="0"/>
    <pivotField showAll="0"/>
    <pivotField dataField="1" showAll="0"/>
    <pivotField dataField="1" showAll="0"/>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4"/>
  </rowFields>
  <rowItems count="4">
    <i>
      <x/>
    </i>
    <i>
      <x v="1"/>
    </i>
    <i>
      <x v="2"/>
    </i>
    <i t="grand">
      <x/>
    </i>
  </rowItems>
  <colFields count="1">
    <field x="-2"/>
  </colFields>
  <colItems count="2">
    <i>
      <x/>
    </i>
    <i i="1">
      <x v="1"/>
    </i>
  </colItems>
  <dataFields count="2">
    <dataField name="Sum of Total Sales" fld="9" baseField="0" baseItem="0"/>
    <dataField name="Sum of Profit" fld="8" baseField="0" baseItem="0"/>
  </dataFields>
  <chartFormats count="17">
    <chartFormat chart="22" format="0"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1"/>
          </reference>
        </references>
      </pivotArea>
    </chartFormat>
    <chartFormat chart="33" format="10" series="1">
      <pivotArea type="data" outline="0" fieldPosition="0">
        <references count="1">
          <reference field="4294967294" count="1" selected="0">
            <x v="0"/>
          </reference>
        </references>
      </pivotArea>
    </chartFormat>
    <chartFormat chart="33" format="11">
      <pivotArea type="data" outline="0" fieldPosition="0">
        <references count="2">
          <reference field="4294967294" count="1" selected="0">
            <x v="0"/>
          </reference>
          <reference field="4" count="1" selected="0">
            <x v="0"/>
          </reference>
        </references>
      </pivotArea>
    </chartFormat>
    <chartFormat chart="33" format="12">
      <pivotArea type="data" outline="0" fieldPosition="0">
        <references count="2">
          <reference field="4294967294" count="1" selected="0">
            <x v="0"/>
          </reference>
          <reference field="4" count="1" selected="0">
            <x v="1"/>
          </reference>
        </references>
      </pivotArea>
    </chartFormat>
    <chartFormat chart="33" format="13">
      <pivotArea type="data" outline="0" fieldPosition="0">
        <references count="2">
          <reference field="4294967294" count="1" selected="0">
            <x v="0"/>
          </reference>
          <reference field="4" count="1" selected="0">
            <x v="2"/>
          </reference>
        </references>
      </pivotArea>
    </chartFormat>
    <chartFormat chart="33" format="14" series="1">
      <pivotArea type="data" outline="0" fieldPosition="0">
        <references count="1">
          <reference field="4294967294" count="1" selected="0">
            <x v="1"/>
          </reference>
        </references>
      </pivotArea>
    </chartFormat>
    <chartFormat chart="33" format="15">
      <pivotArea type="data" outline="0" fieldPosition="0">
        <references count="2">
          <reference field="4294967294" count="1" selected="0">
            <x v="1"/>
          </reference>
          <reference field="4" count="1" selected="0">
            <x v="0"/>
          </reference>
        </references>
      </pivotArea>
    </chartFormat>
    <chartFormat chart="33" format="16">
      <pivotArea type="data" outline="0" fieldPosition="0">
        <references count="2">
          <reference field="4294967294" count="1" selected="0">
            <x v="1"/>
          </reference>
          <reference field="4" count="1" selected="0">
            <x v="1"/>
          </reference>
        </references>
      </pivotArea>
    </chartFormat>
    <chartFormat chart="33" format="17">
      <pivotArea type="data" outline="0" fieldPosition="0">
        <references count="2">
          <reference field="4294967294" count="1" selected="0">
            <x v="1"/>
          </reference>
          <reference field="4" count="1" selected="0">
            <x v="2"/>
          </reference>
        </references>
      </pivotArea>
    </chartFormat>
    <chartFormat chart="30" format="2">
      <pivotArea type="data" outline="0" fieldPosition="0">
        <references count="2">
          <reference field="4294967294" count="1" selected="0">
            <x v="0"/>
          </reference>
          <reference field="4" count="1" selected="0">
            <x v="0"/>
          </reference>
        </references>
      </pivotArea>
    </chartFormat>
    <chartFormat chart="30" format="3">
      <pivotArea type="data" outline="0" fieldPosition="0">
        <references count="2">
          <reference field="4294967294" count="1" selected="0">
            <x v="0"/>
          </reference>
          <reference field="4" count="1" selected="0">
            <x v="1"/>
          </reference>
        </references>
      </pivotArea>
    </chartFormat>
    <chartFormat chart="30" format="4">
      <pivotArea type="data" outline="0" fieldPosition="0">
        <references count="2">
          <reference field="4294967294" count="1" selected="0">
            <x v="0"/>
          </reference>
          <reference field="4" count="1" selected="0">
            <x v="2"/>
          </reference>
        </references>
      </pivotArea>
    </chartFormat>
    <chartFormat chart="30" format="5">
      <pivotArea type="data" outline="0" fieldPosition="0">
        <references count="2">
          <reference field="4294967294" count="1" selected="0">
            <x v="1"/>
          </reference>
          <reference field="4" count="1" selected="0">
            <x v="0"/>
          </reference>
        </references>
      </pivotArea>
    </chartFormat>
    <chartFormat chart="30" format="6">
      <pivotArea type="data" outline="0" fieldPosition="0">
        <references count="2">
          <reference field="4294967294" count="1" selected="0">
            <x v="1"/>
          </reference>
          <reference field="4" count="1" selected="0">
            <x v="1"/>
          </reference>
        </references>
      </pivotArea>
    </chartFormat>
    <chartFormat chart="30" format="7">
      <pivotArea type="data" outline="0" fieldPosition="0">
        <references count="2">
          <reference field="4294967294" count="1" selected="0">
            <x v="1"/>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8DD86C-9F1F-4245-84EF-997AB3EC54CD}"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B67:C73" firstHeaderRow="1" firstDataRow="1" firstDataCol="1"/>
  <pivotFields count="13">
    <pivotField showAll="0"/>
    <pivotField numFmtId="164" showAll="0">
      <items count="46">
        <item x="6"/>
        <item x="33"/>
        <item x="44"/>
        <item x="20"/>
        <item x="11"/>
        <item x="12"/>
        <item x="22"/>
        <item x="23"/>
        <item x="21"/>
        <item x="29"/>
        <item x="18"/>
        <item x="28"/>
        <item x="34"/>
        <item x="16"/>
        <item x="30"/>
        <item x="9"/>
        <item x="31"/>
        <item x="3"/>
        <item x="26"/>
        <item x="4"/>
        <item x="27"/>
        <item x="42"/>
        <item x="19"/>
        <item x="14"/>
        <item x="36"/>
        <item x="13"/>
        <item x="0"/>
        <item x="43"/>
        <item x="15"/>
        <item x="41"/>
        <item x="17"/>
        <item x="25"/>
        <item x="10"/>
        <item x="38"/>
        <item x="5"/>
        <item x="1"/>
        <item x="24"/>
        <item x="2"/>
        <item x="37"/>
        <item x="40"/>
        <item x="32"/>
        <item x="35"/>
        <item x="8"/>
        <item x="39"/>
        <item x="7"/>
        <item t="default"/>
      </items>
    </pivotField>
    <pivotField showAll="0">
      <items count="5">
        <item x="3"/>
        <item x="1"/>
        <item x="0"/>
        <item x="2"/>
        <item t="default"/>
      </items>
    </pivotField>
    <pivotField showAll="0"/>
    <pivotField showAll="0">
      <items count="4">
        <item x="2"/>
        <item x="1"/>
        <item x="0"/>
        <item t="default"/>
      </items>
    </pivotField>
    <pivotField axis="axisRow" showAll="0" measureFilter="1">
      <items count="11">
        <item x="6"/>
        <item x="1"/>
        <item x="2"/>
        <item x="8"/>
        <item x="7"/>
        <item x="9"/>
        <item x="3"/>
        <item x="0"/>
        <item x="4"/>
        <item x="5"/>
        <item t="default"/>
      </items>
    </pivotField>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5"/>
  </rowFields>
  <rowItems count="6">
    <i>
      <x v="1"/>
    </i>
    <i>
      <x v="3"/>
    </i>
    <i>
      <x v="6"/>
    </i>
    <i>
      <x v="7"/>
    </i>
    <i>
      <x v="8"/>
    </i>
    <i t="grand">
      <x/>
    </i>
  </rowItems>
  <colItems count="1">
    <i/>
  </colItems>
  <dataFields count="1">
    <dataField name="Sum of Total Sales" fld="9" baseField="0" baseItem="0"/>
  </dataFields>
  <chartFormats count="9">
    <chartFormat chart="22"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3" format="3" series="1">
      <pivotArea type="data" outline="0" fieldPosition="0">
        <references count="1">
          <reference field="4294967294" count="1" selected="0">
            <x v="0"/>
          </reference>
        </references>
      </pivotArea>
    </chartFormat>
    <chartFormat chart="43" format="4">
      <pivotArea type="data" outline="0" fieldPosition="0">
        <references count="2">
          <reference field="4294967294" count="1" selected="0">
            <x v="0"/>
          </reference>
          <reference field="5" count="1" selected="0">
            <x v="1"/>
          </reference>
        </references>
      </pivotArea>
    </chartFormat>
    <chartFormat chart="43" format="5">
      <pivotArea type="data" outline="0" fieldPosition="0">
        <references count="2">
          <reference field="4294967294" count="1" selected="0">
            <x v="0"/>
          </reference>
          <reference field="5" count="1" selected="0">
            <x v="3"/>
          </reference>
        </references>
      </pivotArea>
    </chartFormat>
    <chartFormat chart="43" format="6">
      <pivotArea type="data" outline="0" fieldPosition="0">
        <references count="2">
          <reference field="4294967294" count="1" selected="0">
            <x v="0"/>
          </reference>
          <reference field="5" count="1" selected="0">
            <x v="6"/>
          </reference>
        </references>
      </pivotArea>
    </chartFormat>
    <chartFormat chart="43" format="7">
      <pivotArea type="data" outline="0" fieldPosition="0">
        <references count="2">
          <reference field="4294967294" count="1" selected="0">
            <x v="0"/>
          </reference>
          <reference field="5" count="1" selected="0">
            <x v="7"/>
          </reference>
        </references>
      </pivotArea>
    </chartFormat>
    <chartFormat chart="43" format="8">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38700D-FB56-45BB-A0E5-D67F7AE05D18}"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A37:B46" firstHeaderRow="1" firstDataRow="1" firstDataCol="1"/>
  <pivotFields count="13">
    <pivotField showAll="0"/>
    <pivotField numFmtId="164" showAll="0">
      <items count="46">
        <item x="6"/>
        <item x="33"/>
        <item x="44"/>
        <item x="20"/>
        <item x="11"/>
        <item x="12"/>
        <item x="22"/>
        <item x="23"/>
        <item x="21"/>
        <item x="29"/>
        <item x="18"/>
        <item x="28"/>
        <item x="34"/>
        <item x="16"/>
        <item x="30"/>
        <item x="9"/>
        <item x="31"/>
        <item x="3"/>
        <item x="26"/>
        <item x="4"/>
        <item x="27"/>
        <item x="42"/>
        <item x="19"/>
        <item x="14"/>
        <item x="36"/>
        <item x="13"/>
        <item x="0"/>
        <item x="43"/>
        <item x="15"/>
        <item x="41"/>
        <item x="17"/>
        <item x="25"/>
        <item x="10"/>
        <item x="38"/>
        <item x="5"/>
        <item x="1"/>
        <item x="24"/>
        <item x="2"/>
        <item x="37"/>
        <item x="40"/>
        <item x="32"/>
        <item x="35"/>
        <item x="8"/>
        <item x="39"/>
        <item x="7"/>
        <item t="default"/>
      </items>
    </pivotField>
    <pivotField showAll="0">
      <items count="5">
        <item x="3"/>
        <item x="1"/>
        <item x="0"/>
        <item x="2"/>
        <item t="default"/>
      </items>
    </pivotField>
    <pivotField showAll="0"/>
    <pivotField showAll="0">
      <items count="4">
        <item x="2"/>
        <item x="1"/>
        <item x="0"/>
        <item t="default"/>
      </items>
    </pivotField>
    <pivotField showAll="0"/>
    <pivotField showAll="0"/>
    <pivotField showAll="0"/>
    <pivotField showAll="0"/>
    <pivotField dataField="1" showAll="0"/>
    <pivotField showAll="0"/>
    <pivotField axis="axisRow" showAll="0">
      <items count="15">
        <item x="0"/>
        <item x="1"/>
        <item x="2"/>
        <item x="3"/>
        <item x="4"/>
        <item x="5"/>
        <item x="6"/>
        <item x="7"/>
        <item x="8"/>
        <item x="9"/>
        <item x="10"/>
        <item x="11"/>
        <item x="12"/>
        <item x="13"/>
        <item t="default"/>
      </items>
    </pivotField>
    <pivotField axis="axisRow" showAll="0">
      <items count="4">
        <item x="0"/>
        <item x="1"/>
        <item x="2"/>
        <item t="default"/>
      </items>
    </pivotField>
  </pivotFields>
  <rowFields count="2">
    <field x="12"/>
    <field x="11"/>
  </rowFields>
  <rowItems count="9">
    <i>
      <x v="1"/>
    </i>
    <i r="1">
      <x v="1"/>
    </i>
    <i r="1">
      <x v="2"/>
    </i>
    <i r="1">
      <x v="3"/>
    </i>
    <i r="1">
      <x v="4"/>
    </i>
    <i r="1">
      <x v="5"/>
    </i>
    <i r="1">
      <x v="6"/>
    </i>
    <i r="1">
      <x v="7"/>
    </i>
    <i t="grand">
      <x/>
    </i>
  </rowItems>
  <colItems count="1">
    <i/>
  </colItems>
  <dataFields count="1">
    <dataField name="Sum of Total Sales" fld="9" baseField="0" baseItem="0"/>
  </dataFields>
  <chartFormats count="4">
    <chartFormat chart="22"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D1C690-0C31-44E2-9BBA-5391F765E1FA}"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4" firstHeaderRow="1" firstDataRow="1" firstDataCol="1"/>
  <pivotFields count="13">
    <pivotField showAll="0"/>
    <pivotField numFmtId="164" showAll="0">
      <items count="46">
        <item x="6"/>
        <item x="33"/>
        <item x="44"/>
        <item x="20"/>
        <item x="11"/>
        <item x="12"/>
        <item x="22"/>
        <item x="23"/>
        <item x="21"/>
        <item x="29"/>
        <item x="18"/>
        <item x="28"/>
        <item x="34"/>
        <item x="16"/>
        <item x="30"/>
        <item x="9"/>
        <item x="31"/>
        <item x="3"/>
        <item x="26"/>
        <item x="4"/>
        <item x="27"/>
        <item x="42"/>
        <item x="19"/>
        <item x="14"/>
        <item x="36"/>
        <item x="13"/>
        <item x="0"/>
        <item x="43"/>
        <item x="15"/>
        <item x="41"/>
        <item x="17"/>
        <item x="25"/>
        <item x="10"/>
        <item x="38"/>
        <item x="5"/>
        <item x="1"/>
        <item x="24"/>
        <item x="2"/>
        <item x="37"/>
        <item x="40"/>
        <item x="32"/>
        <item x="35"/>
        <item x="8"/>
        <item x="39"/>
        <item x="7"/>
        <item t="default"/>
      </items>
    </pivotField>
    <pivotField showAll="0"/>
    <pivotField showAll="0"/>
    <pivotField showAll="0"/>
    <pivotField axis="axisRow" showAll="0" sortType="descending">
      <items count="11">
        <item x="5"/>
        <item x="4"/>
        <item x="0"/>
        <item x="3"/>
        <item x="9"/>
        <item x="7"/>
        <item x="8"/>
        <item x="2"/>
        <item x="1"/>
        <item x="6"/>
        <item t="default"/>
      </items>
    </pivotField>
    <pivotField showAll="0"/>
    <pivotField showAll="0"/>
    <pivotField showAll="0"/>
    <pivotField dataField="1" showAll="0"/>
    <pivotField showAll="0"/>
    <pivotField showAll="0" defaultSubtotal="0"/>
    <pivotField showAll="0" defaultSubtotal="0">
      <items count="3">
        <item x="0"/>
        <item x="1"/>
        <item x="2"/>
      </items>
    </pivotField>
  </pivotFields>
  <rowFields count="1">
    <field x="5"/>
  </rowFields>
  <rowItems count="11">
    <i>
      <x/>
    </i>
    <i>
      <x v="1"/>
    </i>
    <i>
      <x v="2"/>
    </i>
    <i>
      <x v="3"/>
    </i>
    <i>
      <x v="4"/>
    </i>
    <i>
      <x v="5"/>
    </i>
    <i>
      <x v="6"/>
    </i>
    <i>
      <x v="7"/>
    </i>
    <i>
      <x v="8"/>
    </i>
    <i>
      <x v="9"/>
    </i>
    <i t="grand">
      <x/>
    </i>
  </rowItems>
  <colItems count="1">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A14F273-2FDA-477D-9CB3-05D3BEE7C736}" sourceName="Region">
  <pivotTables>
    <pivotTable tabId="2" name="PivotTable3"/>
    <pivotTable tabId="3" name="PivotTable4"/>
    <pivotTable tabId="3" name="PivotTable5"/>
    <pivotTable tabId="3" name="PivotTable6"/>
  </pivotTables>
  <data>
    <tabular pivotCacheId="225812947">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0F22A189-0FAC-4943-BA60-624C72354D32}" sourceName="Product Category">
  <pivotTables>
    <pivotTable tabId="2" name="PivotTable3"/>
    <pivotTable tabId="3" name="PivotTable4"/>
    <pivotTable tabId="3" name="PivotTable5"/>
    <pivotTable tabId="3" name="PivotTable6"/>
  </pivotTables>
  <data>
    <tabular pivotCacheId="225812947">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7BC76B0-7A62-4AB0-9DD9-0D8F5ADE1892}" cache="Slicer_Region" caption="Region" style="SlicerStyleDark4" rowHeight="234950"/>
  <slicer name="Product Category" xr10:uid="{CB36EAC1-6E45-4472-9F94-2683E235C860}" cache="Slicer_Product_Category" caption="Product Category" style="SlicerStyleDark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2E3590-68D7-46C4-B43C-86CC4A2F1B22}" name="SalesData" displayName="SalesData" ref="A1:K51" totalsRowShown="0" headerRowDxfId="13" headerRowBorderDxfId="12" tableBorderDxfId="11">
  <tableColumns count="11">
    <tableColumn id="1" xr3:uid="{31094AAB-AB3B-4A47-8AE6-F49693BD6AC2}" name="Order ID" dataDxfId="10"/>
    <tableColumn id="2" xr3:uid="{151B123A-30BD-47A0-A5DD-D06DA6970CB8}" name="Order Date" dataDxfId="9"/>
    <tableColumn id="3" xr3:uid="{EF5520C6-158B-43A6-8C9E-165C41758527}" name="Region" dataDxfId="8"/>
    <tableColumn id="4" xr3:uid="{9C18C691-0CC9-4300-A110-9D8EB24C1A6A}" name="Customer Name" dataDxfId="7"/>
    <tableColumn id="5" xr3:uid="{2BA1D5AC-6AE8-4D26-A209-364C2D7134F3}" name="Product Category" dataDxfId="6"/>
    <tableColumn id="6" xr3:uid="{D11CB4DD-968F-4404-A014-558E9EF92716}" name="Product Name" dataDxfId="5"/>
    <tableColumn id="7" xr3:uid="{220CF60E-4BD8-4788-B815-FCD6D5674EA0}" name="Quantity" dataDxfId="4"/>
    <tableColumn id="8" xr3:uid="{98B2D249-1675-4EC2-B672-3F853D3A22D9}" name="Unit Price" dataDxfId="3"/>
    <tableColumn id="9" xr3:uid="{480E2061-724A-4F8E-9B57-88B7A40E8995}" name="Profit" dataDxfId="2"/>
    <tableColumn id="10" xr3:uid="{5350A8FA-3FB4-4362-B6D2-8C0D42542E3B}" name="Total Sales" dataDxfId="1"/>
    <tableColumn id="11" xr3:uid="{89C149D0-C8A7-4BE7-8DD5-C061D118B204}" name="Profit Margin"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F2470-A8F7-47DE-8B15-1B635475A8A6}">
  <dimension ref="A3:B8"/>
  <sheetViews>
    <sheetView workbookViewId="0">
      <selection sqref="A1:B9"/>
    </sheetView>
  </sheetViews>
  <sheetFormatPr defaultRowHeight="14.4" x14ac:dyDescent="0.3"/>
  <cols>
    <col min="1" max="1" width="12.5546875" bestFit="1" customWidth="1"/>
    <col min="2" max="2" width="16.44140625" bestFit="1" customWidth="1"/>
  </cols>
  <sheetData>
    <row r="3" spans="1:2" x14ac:dyDescent="0.3">
      <c r="A3" s="4" t="s">
        <v>128</v>
      </c>
      <c r="B3" t="s">
        <v>130</v>
      </c>
    </row>
    <row r="4" spans="1:2" x14ac:dyDescent="0.3">
      <c r="A4" s="5" t="s">
        <v>64</v>
      </c>
      <c r="B4">
        <v>1980485</v>
      </c>
    </row>
    <row r="5" spans="1:2" x14ac:dyDescent="0.3">
      <c r="A5" s="5" t="s">
        <v>62</v>
      </c>
      <c r="B5">
        <v>1151112</v>
      </c>
    </row>
    <row r="6" spans="1:2" x14ac:dyDescent="0.3">
      <c r="A6" s="5" t="s">
        <v>61</v>
      </c>
      <c r="B6">
        <v>2520629</v>
      </c>
    </row>
    <row r="7" spans="1:2" x14ac:dyDescent="0.3">
      <c r="A7" s="5" t="s">
        <v>63</v>
      </c>
      <c r="B7">
        <v>2776872</v>
      </c>
    </row>
    <row r="8" spans="1:2" x14ac:dyDescent="0.3">
      <c r="A8" s="5" t="s">
        <v>129</v>
      </c>
      <c r="B8">
        <v>8429098</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B3EB-CD65-405F-93A4-58CD8471DFC2}">
  <dimension ref="A2:C73"/>
  <sheetViews>
    <sheetView topLeftCell="A64" workbookViewId="0">
      <selection activeCell="C74" sqref="C74"/>
    </sheetView>
  </sheetViews>
  <sheetFormatPr defaultRowHeight="14.4" x14ac:dyDescent="0.3"/>
  <cols>
    <col min="1" max="2" width="12.5546875" bestFit="1" customWidth="1"/>
    <col min="3" max="3" width="16.44140625" bestFit="1" customWidth="1"/>
  </cols>
  <sheetData>
    <row r="2" spans="1:3" x14ac:dyDescent="0.3">
      <c r="A2" s="4" t="s">
        <v>128</v>
      </c>
      <c r="B2" t="s">
        <v>130</v>
      </c>
      <c r="C2" t="s">
        <v>131</v>
      </c>
    </row>
    <row r="3" spans="1:3" x14ac:dyDescent="0.3">
      <c r="A3" s="5" t="s">
        <v>117</v>
      </c>
      <c r="B3">
        <v>3106302</v>
      </c>
      <c r="C3">
        <v>444537.50999999995</v>
      </c>
    </row>
    <row r="4" spans="1:3" x14ac:dyDescent="0.3">
      <c r="A4" s="5" t="s">
        <v>116</v>
      </c>
      <c r="B4">
        <v>2333687</v>
      </c>
      <c r="C4">
        <v>434353.61</v>
      </c>
    </row>
    <row r="5" spans="1:3" x14ac:dyDescent="0.3">
      <c r="A5" s="5" t="s">
        <v>115</v>
      </c>
      <c r="B5">
        <v>2989109</v>
      </c>
      <c r="C5">
        <v>513183.65</v>
      </c>
    </row>
    <row r="6" spans="1:3" x14ac:dyDescent="0.3">
      <c r="A6" s="5" t="s">
        <v>129</v>
      </c>
      <c r="B6">
        <v>8429098</v>
      </c>
      <c r="C6">
        <v>1392074.77</v>
      </c>
    </row>
    <row r="37" spans="1:2" x14ac:dyDescent="0.3">
      <c r="A37" s="4" t="s">
        <v>128</v>
      </c>
      <c r="B37" t="s">
        <v>130</v>
      </c>
    </row>
    <row r="38" spans="1:2" x14ac:dyDescent="0.3">
      <c r="A38" s="5" t="s">
        <v>139</v>
      </c>
      <c r="B38">
        <v>8429098</v>
      </c>
    </row>
    <row r="39" spans="1:2" x14ac:dyDescent="0.3">
      <c r="A39" s="6" t="s">
        <v>132</v>
      </c>
      <c r="B39">
        <v>381602</v>
      </c>
    </row>
    <row r="40" spans="1:2" x14ac:dyDescent="0.3">
      <c r="A40" s="6" t="s">
        <v>133</v>
      </c>
      <c r="B40">
        <v>1129482</v>
      </c>
    </row>
    <row r="41" spans="1:2" x14ac:dyDescent="0.3">
      <c r="A41" s="6" t="s">
        <v>134</v>
      </c>
      <c r="B41">
        <v>1022803</v>
      </c>
    </row>
    <row r="42" spans="1:2" x14ac:dyDescent="0.3">
      <c r="A42" s="6" t="s">
        <v>135</v>
      </c>
      <c r="B42">
        <v>1285598</v>
      </c>
    </row>
    <row r="43" spans="1:2" x14ac:dyDescent="0.3">
      <c r="A43" s="6" t="s">
        <v>136</v>
      </c>
      <c r="B43">
        <v>1635807</v>
      </c>
    </row>
    <row r="44" spans="1:2" x14ac:dyDescent="0.3">
      <c r="A44" s="6" t="s">
        <v>137</v>
      </c>
      <c r="B44">
        <v>1809711</v>
      </c>
    </row>
    <row r="45" spans="1:2" x14ac:dyDescent="0.3">
      <c r="A45" s="6" t="s">
        <v>138</v>
      </c>
      <c r="B45">
        <v>1164095</v>
      </c>
    </row>
    <row r="46" spans="1:2" x14ac:dyDescent="0.3">
      <c r="A46" s="5" t="s">
        <v>129</v>
      </c>
      <c r="B46">
        <v>8429098</v>
      </c>
    </row>
    <row r="67" spans="2:3" x14ac:dyDescent="0.3">
      <c r="B67" s="4" t="s">
        <v>128</v>
      </c>
      <c r="C67" t="s">
        <v>130</v>
      </c>
    </row>
    <row r="68" spans="2:3" x14ac:dyDescent="0.3">
      <c r="B68" s="5" t="s">
        <v>119</v>
      </c>
      <c r="C68">
        <v>896783</v>
      </c>
    </row>
    <row r="69" spans="2:3" x14ac:dyDescent="0.3">
      <c r="B69" s="5" t="s">
        <v>126</v>
      </c>
      <c r="C69">
        <v>1053696</v>
      </c>
    </row>
    <row r="70" spans="2:3" x14ac:dyDescent="0.3">
      <c r="B70" s="5" t="s">
        <v>121</v>
      </c>
      <c r="C70">
        <v>860718</v>
      </c>
    </row>
    <row r="71" spans="2:3" x14ac:dyDescent="0.3">
      <c r="B71" s="5" t="s">
        <v>118</v>
      </c>
      <c r="C71">
        <v>965516</v>
      </c>
    </row>
    <row r="72" spans="2:3" x14ac:dyDescent="0.3">
      <c r="B72" s="5" t="s">
        <v>122</v>
      </c>
      <c r="C72">
        <v>1366000</v>
      </c>
    </row>
    <row r="73" spans="2:3" x14ac:dyDescent="0.3">
      <c r="B73" s="5" t="s">
        <v>129</v>
      </c>
      <c r="C73">
        <v>5142713</v>
      </c>
    </row>
  </sheetData>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96716-529F-4E60-898C-F8A96AC6A82D}">
  <dimension ref="A1:U53"/>
  <sheetViews>
    <sheetView tabSelected="1" zoomScale="60" workbookViewId="0">
      <selection activeCell="P45" sqref="P45"/>
    </sheetView>
  </sheetViews>
  <sheetFormatPr defaultRowHeight="14.4" x14ac:dyDescent="0.3"/>
  <cols>
    <col min="8" max="8" width="12.5546875" bestFit="1" customWidth="1"/>
    <col min="9" max="9" width="16.44140625" bestFit="1" customWidth="1"/>
  </cols>
  <sheetData>
    <row r="1" spans="1:19" ht="14.4" customHeight="1" x14ac:dyDescent="0.3">
      <c r="A1" s="10" t="s">
        <v>140</v>
      </c>
      <c r="B1" s="10"/>
      <c r="C1" s="10"/>
      <c r="D1" s="10"/>
      <c r="E1" s="10"/>
      <c r="F1" s="10"/>
      <c r="G1" s="10"/>
      <c r="H1" s="10"/>
      <c r="I1" s="10"/>
      <c r="J1" s="10"/>
      <c r="K1" s="10"/>
      <c r="L1" s="10"/>
      <c r="M1" s="10"/>
      <c r="N1" s="10"/>
      <c r="O1" s="10"/>
      <c r="P1" s="10"/>
      <c r="Q1" s="10"/>
      <c r="R1" s="10"/>
      <c r="S1" s="10"/>
    </row>
    <row r="2" spans="1:19" x14ac:dyDescent="0.3">
      <c r="A2" s="10"/>
      <c r="B2" s="10"/>
      <c r="C2" s="10"/>
      <c r="D2" s="10"/>
      <c r="E2" s="10"/>
      <c r="F2" s="10"/>
      <c r="G2" s="10"/>
      <c r="H2" s="10"/>
      <c r="I2" s="10"/>
      <c r="J2" s="10"/>
      <c r="K2" s="10"/>
      <c r="L2" s="10"/>
      <c r="M2" s="10"/>
      <c r="N2" s="10"/>
      <c r="O2" s="10"/>
      <c r="P2" s="10"/>
      <c r="Q2" s="10"/>
      <c r="R2" s="10"/>
      <c r="S2" s="10"/>
    </row>
    <row r="3" spans="1:19" x14ac:dyDescent="0.3">
      <c r="A3" s="7"/>
      <c r="B3" s="7"/>
      <c r="C3" s="7"/>
      <c r="D3" s="7"/>
      <c r="E3" s="7"/>
      <c r="F3" s="7"/>
      <c r="G3" s="7"/>
      <c r="H3" s="7"/>
      <c r="I3" s="7"/>
      <c r="J3" s="7"/>
      <c r="K3" s="8"/>
      <c r="L3" s="8"/>
      <c r="M3" s="8"/>
      <c r="N3" s="8"/>
      <c r="O3" s="8"/>
      <c r="P3" s="8"/>
      <c r="Q3" s="8"/>
      <c r="R3" s="8"/>
      <c r="S3" s="8"/>
    </row>
    <row r="4" spans="1:19" x14ac:dyDescent="0.3">
      <c r="A4" s="7"/>
      <c r="B4" s="7"/>
      <c r="C4" s="7"/>
      <c r="D4" s="7"/>
      <c r="E4" s="7"/>
      <c r="F4" s="7"/>
      <c r="G4" s="7"/>
      <c r="H4" s="7"/>
      <c r="I4" s="7"/>
      <c r="J4" s="7"/>
      <c r="K4" s="8"/>
      <c r="L4" s="8"/>
      <c r="M4" s="8"/>
      <c r="N4" s="8"/>
      <c r="O4" s="8"/>
      <c r="P4" s="8"/>
      <c r="Q4" s="8"/>
      <c r="R4" s="8"/>
      <c r="S4" s="8"/>
    </row>
    <row r="5" spans="1:19" x14ac:dyDescent="0.3">
      <c r="A5" s="7"/>
      <c r="B5" s="7"/>
      <c r="C5" s="7"/>
      <c r="D5" s="7"/>
      <c r="E5" s="7"/>
      <c r="F5" s="7"/>
      <c r="G5" s="7"/>
      <c r="H5" s="7"/>
      <c r="I5" s="7"/>
      <c r="J5" s="7"/>
      <c r="K5" s="8"/>
      <c r="L5" s="8"/>
      <c r="M5" s="8"/>
      <c r="N5" s="8"/>
      <c r="O5" s="8"/>
      <c r="P5" s="8"/>
      <c r="Q5" s="8"/>
      <c r="R5" s="8"/>
      <c r="S5" s="8"/>
    </row>
    <row r="6" spans="1:19" x14ac:dyDescent="0.3">
      <c r="A6" s="7"/>
      <c r="B6" s="7"/>
      <c r="C6" s="7"/>
      <c r="D6" s="7"/>
      <c r="E6" s="7"/>
      <c r="F6" s="7"/>
      <c r="G6" s="7"/>
      <c r="H6" s="7"/>
      <c r="I6" s="7"/>
      <c r="J6" s="7"/>
      <c r="K6" s="8"/>
      <c r="L6" s="8"/>
      <c r="M6" s="8"/>
      <c r="N6" s="8"/>
      <c r="O6" s="8"/>
      <c r="P6" s="8"/>
      <c r="Q6" s="8"/>
      <c r="R6" s="8"/>
      <c r="S6" s="8"/>
    </row>
    <row r="7" spans="1:19" x14ac:dyDescent="0.3">
      <c r="A7" s="7"/>
      <c r="B7" s="7"/>
      <c r="C7" s="7"/>
      <c r="D7" s="7"/>
      <c r="E7" s="7"/>
      <c r="F7" s="7"/>
      <c r="G7" s="7"/>
      <c r="H7" s="7"/>
      <c r="I7" s="7"/>
      <c r="J7" s="7"/>
      <c r="K7" s="8"/>
      <c r="L7" s="8"/>
      <c r="M7" s="8"/>
      <c r="N7" s="8"/>
      <c r="O7" s="8"/>
      <c r="P7" s="8"/>
      <c r="Q7" s="8"/>
      <c r="R7" s="8"/>
      <c r="S7" s="8"/>
    </row>
    <row r="8" spans="1:19" x14ac:dyDescent="0.3">
      <c r="A8" s="7"/>
      <c r="B8" s="7"/>
      <c r="C8" s="7"/>
      <c r="D8" s="7"/>
      <c r="E8" s="7"/>
      <c r="F8" s="7"/>
      <c r="G8" s="7"/>
      <c r="H8" s="7"/>
      <c r="I8" s="7"/>
      <c r="J8" s="7"/>
      <c r="K8" s="8"/>
      <c r="L8" s="8"/>
      <c r="M8" s="8"/>
      <c r="N8" s="8"/>
      <c r="O8" s="8"/>
      <c r="P8" s="8"/>
      <c r="Q8" s="8"/>
      <c r="R8" s="8"/>
      <c r="S8" s="8"/>
    </row>
    <row r="9" spans="1:19" x14ac:dyDescent="0.3">
      <c r="A9" s="7"/>
      <c r="B9" s="7"/>
      <c r="C9" s="7"/>
      <c r="D9" s="7"/>
      <c r="E9" s="7"/>
      <c r="F9" s="7"/>
      <c r="G9" s="7"/>
      <c r="H9" s="7"/>
      <c r="I9" s="7"/>
      <c r="J9" s="7"/>
      <c r="K9" s="8"/>
      <c r="L9" s="8"/>
      <c r="M9" s="8"/>
      <c r="N9" s="8"/>
      <c r="O9" s="8"/>
      <c r="P9" s="8"/>
      <c r="Q9" s="8"/>
      <c r="R9" s="8"/>
      <c r="S9" s="8"/>
    </row>
    <row r="10" spans="1:19" x14ac:dyDescent="0.3">
      <c r="A10" s="7"/>
      <c r="B10" s="7"/>
      <c r="C10" s="7"/>
      <c r="D10" s="7"/>
      <c r="E10" s="7"/>
      <c r="F10" s="7"/>
      <c r="G10" s="7"/>
      <c r="H10" s="7"/>
      <c r="I10" s="7"/>
      <c r="J10" s="7"/>
      <c r="K10" s="8"/>
      <c r="L10" s="8"/>
      <c r="M10" s="8"/>
      <c r="N10" s="8"/>
      <c r="O10" s="8"/>
      <c r="P10" s="8"/>
      <c r="Q10" s="8"/>
      <c r="R10" s="8"/>
      <c r="S10" s="8"/>
    </row>
    <row r="11" spans="1:19" x14ac:dyDescent="0.3">
      <c r="A11" s="7"/>
      <c r="B11" s="7"/>
      <c r="C11" s="7"/>
      <c r="D11" s="7"/>
      <c r="E11" s="7"/>
      <c r="F11" s="7"/>
      <c r="G11" s="7"/>
      <c r="H11" s="7"/>
      <c r="I11" s="7"/>
      <c r="J11" s="7"/>
      <c r="K11" s="8"/>
      <c r="L11" s="8"/>
      <c r="M11" s="8"/>
      <c r="N11" s="8"/>
      <c r="O11" s="8"/>
      <c r="P11" s="8"/>
      <c r="Q11" s="8"/>
      <c r="R11" s="8"/>
      <c r="S11" s="8"/>
    </row>
    <row r="12" spans="1:19" x14ac:dyDescent="0.3">
      <c r="A12" s="7"/>
      <c r="B12" s="7"/>
      <c r="C12" s="7"/>
      <c r="D12" s="7"/>
      <c r="E12" s="7"/>
      <c r="F12" s="7"/>
      <c r="G12" s="7"/>
      <c r="H12" s="7"/>
      <c r="I12" s="7"/>
      <c r="J12" s="7"/>
      <c r="K12" s="8"/>
      <c r="L12" s="8"/>
      <c r="M12" s="8"/>
      <c r="N12" s="8"/>
      <c r="O12" s="8"/>
      <c r="P12" s="8"/>
      <c r="Q12" s="8"/>
      <c r="R12" s="8"/>
      <c r="S12" s="8"/>
    </row>
    <row r="13" spans="1:19" x14ac:dyDescent="0.3">
      <c r="A13" s="7"/>
      <c r="B13" s="7"/>
      <c r="C13" s="7"/>
      <c r="D13" s="7"/>
      <c r="E13" s="7"/>
      <c r="F13" s="7"/>
      <c r="G13" s="7"/>
      <c r="H13" s="7"/>
      <c r="I13" s="7"/>
      <c r="J13" s="7"/>
      <c r="K13" s="8"/>
      <c r="L13" s="8"/>
      <c r="M13" s="8"/>
      <c r="N13" s="8"/>
      <c r="O13" s="8"/>
      <c r="P13" s="8"/>
      <c r="Q13" s="8"/>
      <c r="R13" s="8"/>
      <c r="S13" s="8"/>
    </row>
    <row r="14" spans="1:19" x14ac:dyDescent="0.3">
      <c r="A14" s="7"/>
      <c r="B14" s="7"/>
      <c r="C14" s="7"/>
      <c r="D14" s="7"/>
      <c r="E14" s="7"/>
      <c r="F14" s="7"/>
      <c r="G14" s="7"/>
      <c r="H14" s="7"/>
      <c r="I14" s="7"/>
      <c r="J14" s="7"/>
      <c r="K14" s="8"/>
      <c r="L14" s="8"/>
      <c r="M14" s="8"/>
      <c r="N14" s="8"/>
      <c r="O14" s="8"/>
      <c r="P14" s="8"/>
      <c r="Q14" s="8"/>
      <c r="R14" s="8"/>
      <c r="S14" s="8"/>
    </row>
    <row r="15" spans="1:19" x14ac:dyDescent="0.3">
      <c r="A15" s="7"/>
      <c r="B15" s="7"/>
      <c r="C15" s="7"/>
      <c r="D15" s="7"/>
      <c r="E15" s="7"/>
      <c r="F15" s="7"/>
      <c r="G15" s="7"/>
      <c r="H15" s="7"/>
      <c r="I15" s="7"/>
      <c r="J15" s="7"/>
      <c r="K15" s="8"/>
      <c r="L15" s="8"/>
      <c r="M15" s="8"/>
      <c r="N15" s="8"/>
      <c r="O15" s="8"/>
      <c r="P15" s="8"/>
      <c r="Q15" s="8"/>
      <c r="R15" s="8"/>
      <c r="S15" s="8"/>
    </row>
    <row r="16" spans="1:19" x14ac:dyDescent="0.3">
      <c r="A16" s="7"/>
      <c r="B16" s="7"/>
      <c r="C16" s="7"/>
      <c r="D16" s="7"/>
      <c r="E16" s="7"/>
      <c r="F16" s="7"/>
      <c r="G16" s="7"/>
      <c r="H16" s="7"/>
      <c r="I16" s="7"/>
      <c r="J16" s="7"/>
      <c r="K16" s="8"/>
      <c r="L16" s="8"/>
      <c r="M16" s="8"/>
      <c r="N16" s="8"/>
      <c r="O16" s="8"/>
      <c r="P16" s="8"/>
      <c r="Q16" s="8"/>
      <c r="R16" s="8"/>
      <c r="S16" s="8"/>
    </row>
    <row r="17" spans="1:21" x14ac:dyDescent="0.3">
      <c r="A17" s="7"/>
      <c r="B17" s="7"/>
      <c r="C17" s="7"/>
      <c r="D17" s="7"/>
      <c r="E17" s="7"/>
      <c r="F17" s="7"/>
      <c r="G17" s="7"/>
      <c r="H17" s="7"/>
      <c r="I17" s="7"/>
      <c r="J17" s="7"/>
      <c r="K17" s="8"/>
      <c r="L17" s="8"/>
      <c r="M17" s="8"/>
      <c r="N17" s="8"/>
      <c r="O17" s="8"/>
      <c r="P17" s="8"/>
      <c r="Q17" s="8"/>
      <c r="R17" s="8"/>
      <c r="S17" s="8"/>
    </row>
    <row r="18" spans="1:21" x14ac:dyDescent="0.3">
      <c r="A18" s="7"/>
      <c r="B18" s="7"/>
      <c r="C18" s="7"/>
      <c r="D18" s="7"/>
      <c r="E18" s="7"/>
      <c r="F18" s="7"/>
      <c r="G18" s="7"/>
      <c r="H18" s="7"/>
      <c r="I18" s="7"/>
      <c r="J18" s="7"/>
      <c r="K18" s="8"/>
      <c r="L18" s="8"/>
      <c r="M18" s="8"/>
      <c r="N18" s="8"/>
      <c r="O18" s="8"/>
      <c r="P18" s="8"/>
      <c r="Q18" s="8"/>
      <c r="R18" s="8"/>
      <c r="S18" s="8"/>
    </row>
    <row r="19" spans="1:21" x14ac:dyDescent="0.3">
      <c r="A19" s="7"/>
      <c r="B19" s="7"/>
      <c r="C19" s="7"/>
      <c r="D19" s="7"/>
      <c r="E19" s="7"/>
      <c r="F19" s="7"/>
      <c r="G19" s="7"/>
      <c r="H19" s="7"/>
      <c r="I19" s="7"/>
      <c r="J19" s="7"/>
      <c r="K19" s="8"/>
      <c r="L19" s="8"/>
      <c r="M19" s="8"/>
      <c r="N19" s="8"/>
      <c r="O19" s="8"/>
      <c r="P19" s="8"/>
      <c r="Q19" s="8"/>
      <c r="R19" s="8"/>
      <c r="S19" s="8"/>
    </row>
    <row r="20" spans="1:21" x14ac:dyDescent="0.3">
      <c r="A20" s="7"/>
      <c r="B20" s="7"/>
      <c r="C20" s="7"/>
      <c r="D20" s="7"/>
      <c r="E20" s="7"/>
      <c r="F20" s="7"/>
      <c r="G20" s="7"/>
      <c r="H20" s="7"/>
      <c r="I20" s="7"/>
      <c r="J20" s="7"/>
      <c r="K20" s="8"/>
      <c r="L20" s="8"/>
      <c r="M20" s="8"/>
      <c r="N20" s="8"/>
      <c r="O20" s="8"/>
      <c r="P20" s="8"/>
      <c r="Q20" s="8"/>
      <c r="R20" s="8"/>
      <c r="S20" s="8"/>
    </row>
    <row r="21" spans="1:21" x14ac:dyDescent="0.3">
      <c r="A21" s="7"/>
      <c r="B21" s="7"/>
      <c r="C21" s="7"/>
      <c r="D21" s="7"/>
      <c r="E21" s="7"/>
      <c r="F21" s="7"/>
      <c r="G21" s="7"/>
      <c r="H21" s="7"/>
      <c r="I21" s="7"/>
      <c r="J21" s="7"/>
      <c r="K21" s="8"/>
      <c r="L21" s="8"/>
      <c r="M21" s="8"/>
      <c r="N21" s="8"/>
      <c r="O21" s="8"/>
      <c r="P21" s="8"/>
      <c r="Q21" s="8"/>
      <c r="R21" s="8"/>
      <c r="S21" s="8"/>
    </row>
    <row r="22" spans="1:21" x14ac:dyDescent="0.3">
      <c r="A22" s="7"/>
      <c r="B22" s="7"/>
      <c r="C22" s="7"/>
      <c r="D22" s="7"/>
      <c r="E22" s="7"/>
      <c r="F22" s="7"/>
      <c r="G22" s="7"/>
      <c r="H22" s="7"/>
      <c r="I22" s="7"/>
      <c r="J22" s="7"/>
      <c r="K22" s="8"/>
      <c r="L22" s="8"/>
      <c r="M22" s="8"/>
      <c r="N22" s="8"/>
      <c r="O22" s="8"/>
      <c r="P22" s="8"/>
      <c r="Q22" s="8"/>
      <c r="R22" s="8"/>
      <c r="S22" s="8"/>
    </row>
    <row r="23" spans="1:21" x14ac:dyDescent="0.3">
      <c r="A23" s="7"/>
      <c r="B23" s="7"/>
      <c r="C23" s="7"/>
      <c r="D23" s="7"/>
      <c r="E23" s="7"/>
      <c r="F23" s="7"/>
      <c r="G23" s="7"/>
      <c r="H23" s="7"/>
      <c r="I23" s="7"/>
      <c r="J23" s="7"/>
      <c r="K23" s="8"/>
      <c r="L23" s="8"/>
      <c r="M23" s="8"/>
      <c r="N23" s="8"/>
      <c r="O23" s="8"/>
      <c r="P23" s="8"/>
      <c r="Q23" s="8"/>
      <c r="R23" s="8"/>
      <c r="S23" s="8"/>
    </row>
    <row r="24" spans="1:21" x14ac:dyDescent="0.3">
      <c r="A24" s="7"/>
      <c r="B24" s="7"/>
      <c r="C24" s="7"/>
      <c r="D24" s="7"/>
      <c r="E24" s="7"/>
      <c r="F24" s="7"/>
      <c r="G24" s="7"/>
      <c r="H24" s="7"/>
      <c r="I24" s="7"/>
      <c r="J24" s="7"/>
      <c r="K24" s="8"/>
      <c r="L24" s="8"/>
      <c r="M24" s="8"/>
      <c r="N24" s="8"/>
      <c r="O24" s="8"/>
      <c r="P24" s="8"/>
      <c r="Q24" s="8"/>
      <c r="R24" s="8"/>
      <c r="S24" s="8"/>
    </row>
    <row r="25" spans="1:21" x14ac:dyDescent="0.3">
      <c r="A25" s="8"/>
      <c r="B25" s="8"/>
      <c r="C25" s="8"/>
      <c r="D25" s="8"/>
      <c r="E25" s="8"/>
      <c r="F25" s="8"/>
      <c r="G25" s="8"/>
      <c r="H25" s="8"/>
      <c r="I25" s="8"/>
      <c r="J25" s="8"/>
      <c r="K25" s="8"/>
      <c r="L25" s="8"/>
      <c r="M25" s="8"/>
      <c r="N25" s="8"/>
      <c r="O25" s="8"/>
      <c r="P25" s="8"/>
      <c r="Q25" s="8"/>
      <c r="R25" s="8"/>
      <c r="S25" s="8"/>
    </row>
    <row r="26" spans="1:21" x14ac:dyDescent="0.3">
      <c r="A26" s="8"/>
      <c r="B26" s="8"/>
      <c r="C26" s="8"/>
      <c r="D26" s="8"/>
      <c r="E26" s="8"/>
      <c r="F26" s="8"/>
      <c r="G26" s="8"/>
      <c r="H26" s="8"/>
      <c r="I26" s="8"/>
      <c r="J26" s="8"/>
      <c r="K26" s="8"/>
      <c r="L26" s="8"/>
      <c r="M26" s="8"/>
      <c r="N26" s="8"/>
      <c r="O26" s="8"/>
      <c r="P26" s="8"/>
      <c r="Q26" s="8"/>
      <c r="R26" s="8"/>
      <c r="S26" s="8"/>
    </row>
    <row r="27" spans="1:21" x14ac:dyDescent="0.3">
      <c r="A27" s="8"/>
      <c r="B27" s="8"/>
      <c r="C27" s="8"/>
      <c r="D27" s="8"/>
      <c r="E27" s="8"/>
      <c r="F27" s="8"/>
      <c r="G27" s="8"/>
      <c r="H27" s="8"/>
      <c r="I27" s="8"/>
      <c r="J27" s="8"/>
      <c r="K27" s="8"/>
      <c r="L27" s="8"/>
      <c r="M27" s="8"/>
      <c r="N27" s="8"/>
      <c r="O27" s="8"/>
      <c r="P27" s="8"/>
      <c r="Q27" s="8"/>
      <c r="R27" s="8"/>
      <c r="S27" s="8"/>
    </row>
    <row r="28" spans="1:21" x14ac:dyDescent="0.3">
      <c r="A28" s="8"/>
      <c r="B28" s="8"/>
      <c r="C28" s="8"/>
      <c r="D28" s="8"/>
      <c r="E28" s="8"/>
      <c r="F28" s="8"/>
      <c r="G28" s="8"/>
      <c r="H28" s="8"/>
      <c r="I28" s="8"/>
      <c r="J28" s="8"/>
      <c r="K28" s="8"/>
      <c r="L28" s="8"/>
      <c r="M28" s="8"/>
      <c r="N28" s="8"/>
      <c r="O28" s="8"/>
      <c r="P28" s="8"/>
      <c r="Q28" s="8"/>
      <c r="R28" s="8"/>
      <c r="S28" s="8"/>
    </row>
    <row r="29" spans="1:21" x14ac:dyDescent="0.3">
      <c r="A29" s="8"/>
      <c r="B29" s="8"/>
      <c r="C29" s="8"/>
      <c r="D29" s="8"/>
      <c r="E29" s="8"/>
      <c r="F29" s="8"/>
      <c r="G29" s="8"/>
      <c r="H29" s="8"/>
      <c r="I29" s="8"/>
      <c r="J29" s="8"/>
      <c r="K29" s="8"/>
      <c r="L29" s="8"/>
      <c r="M29" s="8"/>
      <c r="N29" s="8"/>
      <c r="O29" s="8"/>
      <c r="P29" s="8"/>
      <c r="Q29" s="8"/>
      <c r="R29" s="8"/>
      <c r="S29" s="8"/>
    </row>
    <row r="30" spans="1:21" x14ac:dyDescent="0.3">
      <c r="A30" s="9"/>
      <c r="B30" s="9"/>
      <c r="C30" s="9"/>
      <c r="D30" s="9"/>
      <c r="E30" s="9"/>
      <c r="F30" s="9"/>
      <c r="G30" s="9"/>
      <c r="H30" s="9"/>
      <c r="I30" s="9"/>
      <c r="J30" s="9"/>
      <c r="K30" s="9"/>
      <c r="L30" s="9"/>
      <c r="M30" s="9"/>
      <c r="N30" s="9"/>
      <c r="O30" s="9"/>
      <c r="P30" s="9"/>
      <c r="Q30" s="9"/>
      <c r="R30" s="9"/>
      <c r="S30" s="9"/>
      <c r="T30" s="9"/>
      <c r="U30" s="9"/>
    </row>
    <row r="31" spans="1:21" x14ac:dyDescent="0.3">
      <c r="A31" s="9"/>
      <c r="B31" s="9"/>
      <c r="C31" s="9"/>
      <c r="D31" s="9"/>
      <c r="E31" s="9"/>
      <c r="F31" s="9"/>
      <c r="G31" s="9"/>
      <c r="H31" s="9"/>
      <c r="I31" s="9"/>
      <c r="J31" s="9"/>
      <c r="K31" s="9"/>
      <c r="L31" s="9"/>
      <c r="M31" s="9"/>
      <c r="N31" s="9"/>
      <c r="O31" s="9"/>
      <c r="P31" s="9"/>
      <c r="Q31" s="9"/>
      <c r="R31" s="9"/>
      <c r="S31" s="9"/>
      <c r="T31" s="9"/>
      <c r="U31" s="9"/>
    </row>
    <row r="32" spans="1:21" x14ac:dyDescent="0.3">
      <c r="A32" s="9"/>
      <c r="B32" s="9"/>
      <c r="C32" s="9"/>
      <c r="D32" s="9"/>
      <c r="E32" s="9"/>
      <c r="F32" s="9"/>
      <c r="G32" s="9"/>
      <c r="H32" s="9"/>
      <c r="I32" s="9"/>
      <c r="J32" s="9"/>
      <c r="K32" s="9"/>
      <c r="L32" s="9"/>
      <c r="M32" s="9"/>
      <c r="N32" s="9"/>
      <c r="O32" s="9"/>
      <c r="P32" s="9"/>
      <c r="Q32" s="9"/>
      <c r="R32" s="9"/>
      <c r="S32" s="9"/>
      <c r="T32" s="9"/>
      <c r="U32" s="9"/>
    </row>
    <row r="33" spans="1:21" x14ac:dyDescent="0.3">
      <c r="A33" s="9"/>
      <c r="B33" s="9"/>
      <c r="C33" s="9"/>
      <c r="D33" s="9"/>
      <c r="E33" s="9"/>
      <c r="F33" s="9"/>
      <c r="G33" s="9"/>
      <c r="H33" s="9"/>
      <c r="I33" s="9"/>
      <c r="J33" s="9"/>
      <c r="K33" s="9"/>
      <c r="L33" s="9"/>
      <c r="M33" s="9"/>
      <c r="N33" s="9"/>
      <c r="O33" s="9"/>
      <c r="P33" s="9"/>
      <c r="Q33" s="9"/>
      <c r="R33" s="9"/>
      <c r="S33" s="9"/>
      <c r="T33" s="9"/>
      <c r="U33" s="9"/>
    </row>
    <row r="34" spans="1:21" x14ac:dyDescent="0.3">
      <c r="A34" s="9"/>
      <c r="B34" s="9"/>
      <c r="C34" s="9"/>
      <c r="D34" s="9"/>
      <c r="E34" s="9"/>
      <c r="F34" s="9"/>
      <c r="G34" s="9"/>
      <c r="H34" s="9"/>
      <c r="I34" s="9"/>
      <c r="J34" s="9"/>
      <c r="K34" s="9"/>
      <c r="L34" s="9"/>
      <c r="M34" s="9"/>
      <c r="N34" s="9"/>
      <c r="O34" s="9"/>
      <c r="P34" s="9"/>
      <c r="Q34" s="9"/>
      <c r="R34" s="9"/>
      <c r="S34" s="9"/>
      <c r="T34" s="9"/>
      <c r="U34" s="9"/>
    </row>
    <row r="35" spans="1:21" x14ac:dyDescent="0.3">
      <c r="A35" s="9"/>
      <c r="B35" s="9"/>
      <c r="C35" s="9"/>
      <c r="D35" s="9"/>
      <c r="E35" s="9"/>
      <c r="F35" s="9"/>
      <c r="G35" s="9"/>
      <c r="H35" s="9"/>
      <c r="I35" s="9"/>
      <c r="J35" s="9"/>
      <c r="K35" s="9"/>
      <c r="L35" s="9"/>
      <c r="M35" s="9"/>
      <c r="N35" s="9"/>
      <c r="O35" s="9"/>
      <c r="P35" s="9"/>
      <c r="Q35" s="9"/>
      <c r="R35" s="9"/>
      <c r="S35" s="9"/>
      <c r="T35" s="9"/>
      <c r="U35" s="9"/>
    </row>
    <row r="36" spans="1:21" x14ac:dyDescent="0.3">
      <c r="A36" s="9"/>
      <c r="B36" s="9"/>
      <c r="C36" s="9"/>
      <c r="D36" s="9"/>
      <c r="E36" s="9"/>
      <c r="F36" s="9"/>
      <c r="G36" s="9"/>
      <c r="H36" s="9"/>
      <c r="I36" s="9"/>
      <c r="J36" s="9"/>
      <c r="K36" s="9"/>
      <c r="L36" s="9"/>
      <c r="M36" s="9"/>
      <c r="N36" s="9"/>
      <c r="O36" s="9"/>
      <c r="P36" s="9"/>
      <c r="Q36" s="9"/>
      <c r="R36" s="9"/>
      <c r="S36" s="9"/>
      <c r="T36" s="9"/>
      <c r="U36" s="9"/>
    </row>
    <row r="37" spans="1:21" x14ac:dyDescent="0.3">
      <c r="A37" s="9"/>
      <c r="B37" s="9"/>
      <c r="C37" s="9"/>
      <c r="D37" s="9"/>
      <c r="E37" s="9"/>
      <c r="F37" s="9"/>
      <c r="G37" s="9"/>
      <c r="H37" s="9"/>
      <c r="I37" s="9"/>
      <c r="J37" s="9"/>
      <c r="K37" s="9"/>
      <c r="L37" s="9"/>
      <c r="M37" s="9"/>
      <c r="N37" s="9"/>
      <c r="O37" s="9"/>
      <c r="P37" s="9"/>
      <c r="Q37" s="9"/>
      <c r="R37" s="9"/>
      <c r="S37" s="9"/>
      <c r="T37" s="9"/>
      <c r="U37" s="9"/>
    </row>
    <row r="38" spans="1:21" x14ac:dyDescent="0.3">
      <c r="A38" s="9"/>
      <c r="B38" s="9"/>
      <c r="C38" s="9"/>
      <c r="D38" s="9"/>
      <c r="E38" s="9"/>
      <c r="F38" s="9"/>
      <c r="G38" s="9"/>
      <c r="H38" s="9"/>
      <c r="I38" s="9"/>
      <c r="J38" s="9"/>
      <c r="K38" s="9"/>
      <c r="L38" s="9"/>
      <c r="M38" s="9"/>
      <c r="N38" s="9"/>
      <c r="O38" s="9"/>
      <c r="P38" s="9"/>
      <c r="Q38" s="9"/>
      <c r="R38" s="9"/>
      <c r="S38" s="9"/>
      <c r="T38" s="9"/>
      <c r="U38" s="9"/>
    </row>
    <row r="39" spans="1:21" x14ac:dyDescent="0.3">
      <c r="A39" s="9"/>
      <c r="B39" s="9"/>
      <c r="C39" s="9"/>
      <c r="D39" s="9"/>
      <c r="E39" s="9"/>
      <c r="F39" s="9"/>
      <c r="G39" s="9"/>
      <c r="H39" s="9"/>
      <c r="I39" s="9"/>
      <c r="J39" s="9"/>
      <c r="K39" s="9"/>
      <c r="L39" s="9"/>
      <c r="M39" s="9"/>
      <c r="N39" s="9"/>
      <c r="O39" s="9"/>
      <c r="P39" s="9"/>
      <c r="Q39" s="9"/>
      <c r="R39" s="9"/>
      <c r="S39" s="9"/>
    </row>
    <row r="40" spans="1:21" x14ac:dyDescent="0.3">
      <c r="A40" s="9"/>
      <c r="B40" s="9"/>
      <c r="C40" s="9"/>
      <c r="D40" s="9"/>
      <c r="E40" s="9"/>
      <c r="F40" s="9"/>
      <c r="G40" s="9"/>
      <c r="H40" s="9"/>
      <c r="I40" s="9"/>
      <c r="J40" s="9"/>
      <c r="K40" s="9"/>
      <c r="L40" s="9"/>
      <c r="M40" s="9"/>
      <c r="N40" s="9"/>
      <c r="O40" s="12"/>
      <c r="P40" s="13"/>
      <c r="Q40" s="9"/>
      <c r="R40" s="9"/>
      <c r="S40" s="9"/>
    </row>
    <row r="41" spans="1:21" x14ac:dyDescent="0.3">
      <c r="A41" s="9"/>
      <c r="B41" s="9"/>
      <c r="C41" s="9"/>
      <c r="D41" s="9"/>
      <c r="E41" s="9"/>
      <c r="F41" s="9"/>
      <c r="G41" s="9"/>
      <c r="H41" s="9"/>
      <c r="I41" s="9"/>
      <c r="J41" s="9"/>
      <c r="K41" s="9"/>
      <c r="L41" s="9"/>
      <c r="M41" s="9"/>
      <c r="N41" s="9"/>
      <c r="O41" s="12"/>
      <c r="P41" s="13"/>
      <c r="Q41" s="9"/>
      <c r="R41" s="9"/>
      <c r="S41" s="9"/>
    </row>
    <row r="42" spans="1:21" x14ac:dyDescent="0.3">
      <c r="A42" s="9"/>
      <c r="B42" s="9"/>
      <c r="C42" s="9"/>
      <c r="D42" s="9"/>
      <c r="E42" s="9"/>
      <c r="F42" s="9"/>
      <c r="G42" s="9"/>
      <c r="H42" s="9"/>
      <c r="I42" s="9"/>
      <c r="J42" s="9"/>
      <c r="K42" s="9"/>
      <c r="L42" s="9"/>
      <c r="M42" s="9"/>
      <c r="N42" s="9"/>
      <c r="O42" s="12"/>
      <c r="P42" s="13"/>
      <c r="Q42" s="9"/>
      <c r="R42" s="9"/>
      <c r="S42" s="9"/>
    </row>
    <row r="43" spans="1:21" x14ac:dyDescent="0.3">
      <c r="A43" s="9"/>
      <c r="B43" s="9"/>
      <c r="C43" s="9"/>
      <c r="D43" s="9"/>
      <c r="E43" s="9"/>
      <c r="F43" s="9"/>
      <c r="G43" s="9"/>
      <c r="H43" s="9"/>
      <c r="I43" s="9"/>
      <c r="J43" s="9"/>
      <c r="K43" s="9"/>
      <c r="L43" s="9"/>
      <c r="M43" s="9"/>
      <c r="N43" s="9"/>
      <c r="O43" s="12"/>
      <c r="P43" s="13"/>
      <c r="Q43" s="9"/>
      <c r="R43" s="9"/>
      <c r="S43" s="9"/>
    </row>
    <row r="44" spans="1:21" x14ac:dyDescent="0.3">
      <c r="A44" s="9"/>
      <c r="B44" s="9"/>
      <c r="C44" s="9"/>
      <c r="D44" s="9"/>
      <c r="E44" s="9"/>
      <c r="F44" s="9"/>
      <c r="G44" s="9"/>
      <c r="H44" s="9"/>
      <c r="I44" s="9"/>
      <c r="J44" s="9"/>
      <c r="K44" s="9"/>
      <c r="L44" s="9"/>
      <c r="M44" s="9"/>
      <c r="N44" s="9"/>
      <c r="O44" s="12"/>
      <c r="P44" s="13"/>
      <c r="Q44" s="9"/>
      <c r="R44" s="9"/>
      <c r="S44" s="9"/>
    </row>
    <row r="45" spans="1:21" x14ac:dyDescent="0.3">
      <c r="A45" s="9"/>
      <c r="B45" s="9"/>
      <c r="C45" s="9"/>
      <c r="D45" s="9"/>
      <c r="E45" s="9"/>
      <c r="F45" s="9"/>
      <c r="G45" s="9"/>
      <c r="H45" s="9"/>
      <c r="I45" s="9"/>
      <c r="J45" s="9"/>
      <c r="K45" s="9"/>
      <c r="L45" s="9"/>
      <c r="M45" s="9"/>
      <c r="N45" s="9"/>
      <c r="O45" s="12"/>
      <c r="P45" s="13"/>
      <c r="Q45" s="9"/>
      <c r="R45" s="9"/>
      <c r="S45" s="9"/>
    </row>
    <row r="46" spans="1:21" x14ac:dyDescent="0.3">
      <c r="A46" s="9"/>
      <c r="B46" s="9"/>
      <c r="C46" s="9"/>
      <c r="D46" s="9"/>
      <c r="E46" s="9"/>
      <c r="F46" s="9"/>
      <c r="G46" s="9"/>
      <c r="H46" s="9"/>
      <c r="I46" s="9"/>
      <c r="J46" s="9"/>
      <c r="K46" s="9"/>
      <c r="L46" s="9"/>
      <c r="M46" s="9"/>
      <c r="N46" s="9"/>
      <c r="O46" s="12"/>
      <c r="P46" s="13"/>
      <c r="Q46" s="9"/>
      <c r="R46" s="9"/>
      <c r="S46" s="9"/>
    </row>
    <row r="47" spans="1:21" x14ac:dyDescent="0.3">
      <c r="A47" s="9"/>
      <c r="B47" s="9"/>
      <c r="C47" s="9"/>
      <c r="D47" s="9"/>
      <c r="E47" s="9"/>
      <c r="F47" s="9"/>
      <c r="G47" s="9"/>
      <c r="H47" s="9"/>
      <c r="I47" s="9"/>
      <c r="J47" s="9"/>
      <c r="K47" s="9"/>
      <c r="L47" s="9"/>
      <c r="M47" s="9"/>
      <c r="N47" s="9"/>
      <c r="O47" s="12"/>
      <c r="P47" s="13"/>
      <c r="Q47" s="9"/>
      <c r="R47" s="9"/>
      <c r="S47" s="9"/>
    </row>
    <row r="48" spans="1:21" x14ac:dyDescent="0.3">
      <c r="A48" s="9"/>
      <c r="B48" s="9"/>
      <c r="C48" s="9"/>
      <c r="D48" s="9"/>
      <c r="E48" s="9"/>
      <c r="F48" s="9"/>
      <c r="G48" s="9"/>
      <c r="H48" s="9"/>
      <c r="I48" s="9"/>
      <c r="J48" s="9"/>
      <c r="K48" s="9"/>
      <c r="L48" s="9"/>
      <c r="M48" s="9"/>
      <c r="N48" s="9"/>
      <c r="O48" s="12"/>
      <c r="P48" s="13"/>
      <c r="Q48" s="9"/>
      <c r="R48" s="9"/>
      <c r="S48" s="9"/>
    </row>
    <row r="49" spans="1:19" x14ac:dyDescent="0.3">
      <c r="A49" s="9"/>
      <c r="B49" s="9"/>
      <c r="C49" s="9"/>
      <c r="D49" s="9"/>
      <c r="E49" s="9"/>
      <c r="F49" s="9"/>
      <c r="G49" s="9"/>
      <c r="H49" s="9"/>
      <c r="I49" s="9"/>
      <c r="J49" s="9"/>
      <c r="K49" s="9"/>
      <c r="L49" s="9"/>
      <c r="M49" s="9"/>
      <c r="N49" s="9"/>
      <c r="O49" s="12"/>
      <c r="P49" s="13"/>
      <c r="Q49" s="9"/>
      <c r="R49" s="9"/>
      <c r="S49" s="9"/>
    </row>
    <row r="50" spans="1:19" x14ac:dyDescent="0.3">
      <c r="L50" s="9"/>
      <c r="M50" s="9"/>
      <c r="N50" s="9"/>
      <c r="O50" s="12"/>
      <c r="P50" s="13"/>
    </row>
    <row r="51" spans="1:19" x14ac:dyDescent="0.3">
      <c r="L51" s="9"/>
      <c r="M51" s="9"/>
      <c r="N51" s="9"/>
      <c r="O51" s="9"/>
      <c r="P51" s="9"/>
    </row>
    <row r="52" spans="1:19" x14ac:dyDescent="0.3">
      <c r="L52" s="9"/>
      <c r="M52" s="9"/>
      <c r="N52" s="9"/>
      <c r="O52" s="9"/>
      <c r="P52" s="9"/>
    </row>
    <row r="53" spans="1:19" x14ac:dyDescent="0.3">
      <c r="L53" s="9"/>
      <c r="M53" s="9"/>
      <c r="N53" s="9"/>
      <c r="O53" s="9"/>
      <c r="P53" s="9"/>
    </row>
  </sheetData>
  <mergeCells count="1">
    <mergeCell ref="A1:S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39281-A85D-4EEA-A1FF-D4683A1550CD}">
  <dimension ref="A3:B14"/>
  <sheetViews>
    <sheetView workbookViewId="0">
      <selection sqref="A1:C16"/>
    </sheetView>
  </sheetViews>
  <sheetFormatPr defaultRowHeight="14.4" x14ac:dyDescent="0.3"/>
  <cols>
    <col min="1" max="1" width="12.5546875" bestFit="1" customWidth="1"/>
    <col min="2" max="2" width="16.44140625" bestFit="1" customWidth="1"/>
  </cols>
  <sheetData>
    <row r="3" spans="1:2" x14ac:dyDescent="0.3">
      <c r="A3" s="4" t="s">
        <v>128</v>
      </c>
      <c r="B3" t="s">
        <v>130</v>
      </c>
    </row>
    <row r="4" spans="1:2" x14ac:dyDescent="0.3">
      <c r="A4" s="5" t="s">
        <v>123</v>
      </c>
      <c r="B4" s="11">
        <v>657593</v>
      </c>
    </row>
    <row r="5" spans="1:2" x14ac:dyDescent="0.3">
      <c r="A5" s="5" t="s">
        <v>122</v>
      </c>
      <c r="B5" s="11">
        <v>1366000</v>
      </c>
    </row>
    <row r="6" spans="1:2" x14ac:dyDescent="0.3">
      <c r="A6" s="5" t="s">
        <v>118</v>
      </c>
      <c r="B6" s="11">
        <v>965516</v>
      </c>
    </row>
    <row r="7" spans="1:2" x14ac:dyDescent="0.3">
      <c r="A7" s="5" t="s">
        <v>121</v>
      </c>
      <c r="B7" s="11">
        <v>860718</v>
      </c>
    </row>
    <row r="8" spans="1:2" x14ac:dyDescent="0.3">
      <c r="A8" s="5" t="s">
        <v>127</v>
      </c>
      <c r="B8" s="11">
        <v>732868</v>
      </c>
    </row>
    <row r="9" spans="1:2" x14ac:dyDescent="0.3">
      <c r="A9" s="5" t="s">
        <v>125</v>
      </c>
      <c r="B9" s="11">
        <v>459020</v>
      </c>
    </row>
    <row r="10" spans="1:2" x14ac:dyDescent="0.3">
      <c r="A10" s="5" t="s">
        <v>126</v>
      </c>
      <c r="B10" s="11">
        <v>1053696</v>
      </c>
    </row>
    <row r="11" spans="1:2" x14ac:dyDescent="0.3">
      <c r="A11" s="5" t="s">
        <v>120</v>
      </c>
      <c r="B11" s="11">
        <v>770526</v>
      </c>
    </row>
    <row r="12" spans="1:2" x14ac:dyDescent="0.3">
      <c r="A12" s="5" t="s">
        <v>119</v>
      </c>
      <c r="B12" s="11">
        <v>896783</v>
      </c>
    </row>
    <row r="13" spans="1:2" x14ac:dyDescent="0.3">
      <c r="A13" s="5" t="s">
        <v>124</v>
      </c>
      <c r="B13" s="11">
        <v>666378</v>
      </c>
    </row>
    <row r="14" spans="1:2" x14ac:dyDescent="0.3">
      <c r="A14" s="5" t="s">
        <v>129</v>
      </c>
      <c r="B14" s="11">
        <v>8429098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51"/>
  <sheetViews>
    <sheetView topLeftCell="A2" workbookViewId="0">
      <selection activeCell="E17" sqref="A2:K51"/>
    </sheetView>
  </sheetViews>
  <sheetFormatPr defaultRowHeight="14.4" x14ac:dyDescent="0.3"/>
  <cols>
    <col min="1" max="1" width="9.88671875" customWidth="1"/>
    <col min="2" max="2" width="24.33203125" customWidth="1"/>
    <col min="4" max="4" width="16.44140625" customWidth="1"/>
    <col min="5" max="5" width="17.5546875" customWidth="1"/>
    <col min="6" max="6" width="15" customWidth="1"/>
    <col min="7" max="7" width="10.21875" customWidth="1"/>
    <col min="8" max="8" width="11" customWidth="1"/>
    <col min="10" max="10" width="11.77734375" customWidth="1"/>
    <col min="11" max="11" width="14" customWidth="1"/>
  </cols>
  <sheetData>
    <row r="1" spans="1:11" x14ac:dyDescent="0.3">
      <c r="A1" s="1" t="s">
        <v>0</v>
      </c>
      <c r="B1" s="1" t="s">
        <v>1</v>
      </c>
      <c r="C1" s="1" t="s">
        <v>2</v>
      </c>
      <c r="D1" s="1" t="s">
        <v>3</v>
      </c>
      <c r="E1" s="1" t="s">
        <v>4</v>
      </c>
      <c r="F1" s="1" t="s">
        <v>5</v>
      </c>
      <c r="G1" s="1" t="s">
        <v>6</v>
      </c>
      <c r="H1" s="1" t="s">
        <v>7</v>
      </c>
      <c r="I1" s="1" t="s">
        <v>8</v>
      </c>
      <c r="J1" s="1" t="s">
        <v>9</v>
      </c>
      <c r="K1" s="1" t="s">
        <v>10</v>
      </c>
    </row>
    <row r="2" spans="1:11" x14ac:dyDescent="0.3">
      <c r="A2" s="2" t="s">
        <v>11</v>
      </c>
      <c r="B2" s="3">
        <v>45795</v>
      </c>
      <c r="C2" s="2" t="s">
        <v>61</v>
      </c>
      <c r="D2" s="2" t="s">
        <v>65</v>
      </c>
      <c r="E2" s="2" t="s">
        <v>115</v>
      </c>
      <c r="F2" s="2" t="s">
        <v>118</v>
      </c>
      <c r="G2" s="2">
        <v>8</v>
      </c>
      <c r="H2" s="2">
        <v>47654</v>
      </c>
      <c r="I2" s="2">
        <v>59874.94</v>
      </c>
      <c r="J2" s="2">
        <v>381232</v>
      </c>
      <c r="K2" s="2">
        <v>0.16</v>
      </c>
    </row>
    <row r="3" spans="1:11" x14ac:dyDescent="0.3">
      <c r="A3" s="2" t="s">
        <v>12</v>
      </c>
      <c r="B3" s="3">
        <v>45832</v>
      </c>
      <c r="C3" s="2" t="s">
        <v>62</v>
      </c>
      <c r="D3" s="2" t="s">
        <v>66</v>
      </c>
      <c r="E3" s="2" t="s">
        <v>116</v>
      </c>
      <c r="F3" s="2" t="s">
        <v>119</v>
      </c>
      <c r="G3" s="2">
        <v>8</v>
      </c>
      <c r="H3" s="2">
        <v>10651</v>
      </c>
      <c r="I3" s="2">
        <v>22052.83</v>
      </c>
      <c r="J3" s="2">
        <v>85208</v>
      </c>
      <c r="K3" s="2">
        <v>0.26</v>
      </c>
    </row>
    <row r="4" spans="1:11" x14ac:dyDescent="0.3">
      <c r="A4" s="2" t="s">
        <v>13</v>
      </c>
      <c r="B4" s="3">
        <v>45837</v>
      </c>
      <c r="C4" s="2" t="s">
        <v>63</v>
      </c>
      <c r="D4" s="2" t="s">
        <v>67</v>
      </c>
      <c r="E4" s="2" t="s">
        <v>116</v>
      </c>
      <c r="F4" s="2" t="s">
        <v>120</v>
      </c>
      <c r="G4" s="2">
        <v>10</v>
      </c>
      <c r="H4" s="2">
        <v>47974</v>
      </c>
      <c r="I4" s="2">
        <v>75151.429999999993</v>
      </c>
      <c r="J4" s="2">
        <v>479740</v>
      </c>
      <c r="K4" s="2">
        <v>0.16</v>
      </c>
    </row>
    <row r="5" spans="1:11" x14ac:dyDescent="0.3">
      <c r="A5" s="2" t="s">
        <v>14</v>
      </c>
      <c r="B5" s="3">
        <v>45766</v>
      </c>
      <c r="C5" s="2" t="s">
        <v>63</v>
      </c>
      <c r="D5" s="2" t="s">
        <v>68</v>
      </c>
      <c r="E5" s="2" t="s">
        <v>117</v>
      </c>
      <c r="F5" s="2" t="s">
        <v>121</v>
      </c>
      <c r="G5" s="2">
        <v>8</v>
      </c>
      <c r="H5" s="2">
        <v>29305</v>
      </c>
      <c r="I5" s="2">
        <v>37973.370000000003</v>
      </c>
      <c r="J5" s="2">
        <v>234440</v>
      </c>
      <c r="K5" s="2">
        <v>0.16</v>
      </c>
    </row>
    <row r="6" spans="1:11" x14ac:dyDescent="0.3">
      <c r="A6" s="2" t="s">
        <v>15</v>
      </c>
      <c r="B6" s="3">
        <v>45775</v>
      </c>
      <c r="C6" s="2" t="s">
        <v>61</v>
      </c>
      <c r="D6" s="2" t="s">
        <v>69</v>
      </c>
      <c r="E6" s="2" t="s">
        <v>115</v>
      </c>
      <c r="F6" s="2" t="s">
        <v>122</v>
      </c>
      <c r="G6" s="2">
        <v>10</v>
      </c>
      <c r="H6" s="2">
        <v>18151</v>
      </c>
      <c r="I6" s="2">
        <v>12923.66</v>
      </c>
      <c r="J6" s="2">
        <v>181510</v>
      </c>
      <c r="K6" s="2">
        <v>7.0000000000000007E-2</v>
      </c>
    </row>
    <row r="7" spans="1:11" x14ac:dyDescent="0.3">
      <c r="A7" s="2" t="s">
        <v>16</v>
      </c>
      <c r="B7" s="3">
        <v>45830</v>
      </c>
      <c r="C7" s="2" t="s">
        <v>63</v>
      </c>
      <c r="D7" s="2" t="s">
        <v>70</v>
      </c>
      <c r="E7" s="2" t="s">
        <v>116</v>
      </c>
      <c r="F7" s="2" t="s">
        <v>119</v>
      </c>
      <c r="G7" s="2">
        <v>9</v>
      </c>
      <c r="H7" s="2">
        <v>27713</v>
      </c>
      <c r="I7" s="2">
        <v>21696.36</v>
      </c>
      <c r="J7" s="2">
        <v>249417</v>
      </c>
      <c r="K7" s="2">
        <v>0.09</v>
      </c>
    </row>
    <row r="8" spans="1:11" x14ac:dyDescent="0.3">
      <c r="A8" s="2" t="s">
        <v>17</v>
      </c>
      <c r="B8" s="3">
        <v>45681</v>
      </c>
      <c r="C8" s="2" t="s">
        <v>63</v>
      </c>
      <c r="D8" s="2" t="s">
        <v>71</v>
      </c>
      <c r="E8" s="2" t="s">
        <v>115</v>
      </c>
      <c r="F8" s="2" t="s">
        <v>123</v>
      </c>
      <c r="G8" s="2">
        <v>10</v>
      </c>
      <c r="H8" s="2">
        <v>11419</v>
      </c>
      <c r="I8" s="2">
        <v>8704.8700000000008</v>
      </c>
      <c r="J8" s="2">
        <v>114190</v>
      </c>
      <c r="K8" s="2">
        <v>0.08</v>
      </c>
    </row>
    <row r="9" spans="1:11" x14ac:dyDescent="0.3">
      <c r="A9" s="2" t="s">
        <v>18</v>
      </c>
      <c r="B9" s="3">
        <v>45863</v>
      </c>
      <c r="C9" s="2" t="s">
        <v>62</v>
      </c>
      <c r="D9" s="2" t="s">
        <v>72</v>
      </c>
      <c r="E9" s="2" t="s">
        <v>115</v>
      </c>
      <c r="F9" s="2" t="s">
        <v>122</v>
      </c>
      <c r="G9" s="2">
        <v>7</v>
      </c>
      <c r="H9" s="2">
        <v>35328</v>
      </c>
      <c r="I9" s="2">
        <v>64170.31</v>
      </c>
      <c r="J9" s="2">
        <v>247296</v>
      </c>
      <c r="K9" s="2">
        <v>0.26</v>
      </c>
    </row>
    <row r="10" spans="1:11" x14ac:dyDescent="0.3">
      <c r="A10" s="2" t="s">
        <v>19</v>
      </c>
      <c r="B10" s="3">
        <v>45857</v>
      </c>
      <c r="C10" s="2" t="s">
        <v>63</v>
      </c>
      <c r="D10" s="2" t="s">
        <v>73</v>
      </c>
      <c r="E10" s="2" t="s">
        <v>115</v>
      </c>
      <c r="F10" s="2" t="s">
        <v>118</v>
      </c>
      <c r="G10" s="2">
        <v>3</v>
      </c>
      <c r="H10" s="2">
        <v>43519</v>
      </c>
      <c r="I10" s="2">
        <v>8125.39</v>
      </c>
      <c r="J10" s="2">
        <v>130557</v>
      </c>
      <c r="K10" s="2">
        <v>0.06</v>
      </c>
    </row>
    <row r="11" spans="1:11" x14ac:dyDescent="0.3">
      <c r="A11" s="2" t="s">
        <v>20</v>
      </c>
      <c r="B11" s="3">
        <v>45762</v>
      </c>
      <c r="C11" s="2" t="s">
        <v>61</v>
      </c>
      <c r="D11" s="2" t="s">
        <v>74</v>
      </c>
      <c r="E11" s="2" t="s">
        <v>117</v>
      </c>
      <c r="F11" s="2" t="s">
        <v>121</v>
      </c>
      <c r="G11" s="2">
        <v>9</v>
      </c>
      <c r="H11" s="2">
        <v>15247</v>
      </c>
      <c r="I11" s="2">
        <v>18388.3</v>
      </c>
      <c r="J11" s="2">
        <v>137223</v>
      </c>
      <c r="K11" s="2">
        <v>0.13</v>
      </c>
    </row>
    <row r="12" spans="1:11" x14ac:dyDescent="0.3">
      <c r="A12" s="2" t="s">
        <v>21</v>
      </c>
      <c r="B12" s="3">
        <v>45826</v>
      </c>
      <c r="C12" s="2" t="s">
        <v>64</v>
      </c>
      <c r="D12" s="2" t="s">
        <v>75</v>
      </c>
      <c r="E12" s="2" t="s">
        <v>116</v>
      </c>
      <c r="F12" s="2" t="s">
        <v>119</v>
      </c>
      <c r="G12" s="2">
        <v>8</v>
      </c>
      <c r="H12" s="2">
        <v>877</v>
      </c>
      <c r="I12" s="2">
        <v>929</v>
      </c>
      <c r="J12" s="2">
        <v>7016</v>
      </c>
      <c r="K12" s="2">
        <v>0.13</v>
      </c>
    </row>
    <row r="13" spans="1:11" x14ac:dyDescent="0.3">
      <c r="A13" s="2" t="s">
        <v>22</v>
      </c>
      <c r="B13" s="3">
        <v>45700</v>
      </c>
      <c r="C13" s="2" t="s">
        <v>64</v>
      </c>
      <c r="D13" s="2" t="s">
        <v>76</v>
      </c>
      <c r="E13" s="2" t="s">
        <v>115</v>
      </c>
      <c r="F13" s="2" t="s">
        <v>122</v>
      </c>
      <c r="G13" s="2">
        <v>5</v>
      </c>
      <c r="H13" s="2">
        <v>45292</v>
      </c>
      <c r="I13" s="2">
        <v>34899.11</v>
      </c>
      <c r="J13" s="2">
        <v>226460</v>
      </c>
      <c r="K13" s="2">
        <v>0.15</v>
      </c>
    </row>
    <row r="14" spans="1:11" x14ac:dyDescent="0.3">
      <c r="A14" s="2" t="s">
        <v>23</v>
      </c>
      <c r="B14" s="3">
        <v>45706</v>
      </c>
      <c r="C14" s="2" t="s">
        <v>62</v>
      </c>
      <c r="D14" s="2" t="s">
        <v>77</v>
      </c>
      <c r="E14" s="2" t="s">
        <v>115</v>
      </c>
      <c r="F14" s="2" t="s">
        <v>118</v>
      </c>
      <c r="G14" s="2">
        <v>5</v>
      </c>
      <c r="H14" s="2">
        <v>28860</v>
      </c>
      <c r="I14" s="2">
        <v>29380.51</v>
      </c>
      <c r="J14" s="2">
        <v>144300</v>
      </c>
      <c r="K14" s="2">
        <v>0.2</v>
      </c>
    </row>
    <row r="15" spans="1:11" x14ac:dyDescent="0.3">
      <c r="A15" s="2" t="s">
        <v>24</v>
      </c>
      <c r="B15" s="3">
        <v>45792</v>
      </c>
      <c r="C15" s="2" t="s">
        <v>63</v>
      </c>
      <c r="D15" s="2" t="s">
        <v>78</v>
      </c>
      <c r="E15" s="2" t="s">
        <v>116</v>
      </c>
      <c r="F15" s="2" t="s">
        <v>124</v>
      </c>
      <c r="G15" s="2">
        <v>3</v>
      </c>
      <c r="H15" s="2">
        <v>28835</v>
      </c>
      <c r="I15" s="2">
        <v>11361.4</v>
      </c>
      <c r="J15" s="2">
        <v>86505</v>
      </c>
      <c r="K15" s="2">
        <v>0.13</v>
      </c>
    </row>
    <row r="16" spans="1:11" x14ac:dyDescent="0.3">
      <c r="A16" s="2" t="s">
        <v>25</v>
      </c>
      <c r="B16" s="3">
        <v>45784</v>
      </c>
      <c r="C16" s="2" t="s">
        <v>64</v>
      </c>
      <c r="D16" s="2" t="s">
        <v>79</v>
      </c>
      <c r="E16" s="2" t="s">
        <v>117</v>
      </c>
      <c r="F16" s="2" t="s">
        <v>125</v>
      </c>
      <c r="G16" s="2">
        <v>10</v>
      </c>
      <c r="H16" s="2">
        <v>31275</v>
      </c>
      <c r="I16" s="2">
        <v>42948.62</v>
      </c>
      <c r="J16" s="2">
        <v>312750</v>
      </c>
      <c r="K16" s="2">
        <v>0.14000000000000001</v>
      </c>
    </row>
    <row r="17" spans="1:11" x14ac:dyDescent="0.3">
      <c r="A17" s="2" t="s">
        <v>26</v>
      </c>
      <c r="B17" s="3">
        <v>45802</v>
      </c>
      <c r="C17" s="2" t="s">
        <v>62</v>
      </c>
      <c r="D17" s="2" t="s">
        <v>80</v>
      </c>
      <c r="E17" s="2" t="s">
        <v>117</v>
      </c>
      <c r="F17" s="2" t="s">
        <v>126</v>
      </c>
      <c r="G17" s="2">
        <v>9</v>
      </c>
      <c r="H17" s="2">
        <v>16342</v>
      </c>
      <c r="I17" s="2">
        <v>36468.51</v>
      </c>
      <c r="J17" s="2">
        <v>147078</v>
      </c>
      <c r="K17" s="2">
        <v>0.25</v>
      </c>
    </row>
    <row r="18" spans="1:11" x14ac:dyDescent="0.3">
      <c r="A18" s="2" t="s">
        <v>27</v>
      </c>
      <c r="B18" s="3">
        <v>45753</v>
      </c>
      <c r="C18" s="2" t="s">
        <v>64</v>
      </c>
      <c r="D18" s="2" t="s">
        <v>81</v>
      </c>
      <c r="E18" s="2" t="s">
        <v>115</v>
      </c>
      <c r="F18" s="2" t="s">
        <v>123</v>
      </c>
      <c r="G18" s="2">
        <v>3</v>
      </c>
      <c r="H18" s="2">
        <v>11709</v>
      </c>
      <c r="I18" s="2">
        <v>2161.5</v>
      </c>
      <c r="J18" s="2">
        <v>35127</v>
      </c>
      <c r="K18" s="2">
        <v>0.06</v>
      </c>
    </row>
    <row r="19" spans="1:11" x14ac:dyDescent="0.3">
      <c r="A19" s="2" t="s">
        <v>28</v>
      </c>
      <c r="B19" s="3">
        <v>45811</v>
      </c>
      <c r="C19" s="2" t="s">
        <v>61</v>
      </c>
      <c r="D19" s="2" t="s">
        <v>82</v>
      </c>
      <c r="E19" s="2" t="s">
        <v>115</v>
      </c>
      <c r="F19" s="2" t="s">
        <v>118</v>
      </c>
      <c r="G19" s="2">
        <v>7</v>
      </c>
      <c r="H19" s="2">
        <v>35584</v>
      </c>
      <c r="I19" s="2">
        <v>45901.93</v>
      </c>
      <c r="J19" s="2">
        <v>249088</v>
      </c>
      <c r="K19" s="2">
        <v>0.18</v>
      </c>
    </row>
    <row r="20" spans="1:11" x14ac:dyDescent="0.3">
      <c r="A20" s="2" t="s">
        <v>29</v>
      </c>
      <c r="B20" s="3">
        <v>45736</v>
      </c>
      <c r="C20" s="2" t="s">
        <v>64</v>
      </c>
      <c r="D20" s="2" t="s">
        <v>83</v>
      </c>
      <c r="E20" s="2" t="s">
        <v>116</v>
      </c>
      <c r="F20" s="2" t="s">
        <v>119</v>
      </c>
      <c r="G20" s="2">
        <v>5</v>
      </c>
      <c r="H20" s="2">
        <v>19806</v>
      </c>
      <c r="I20" s="2">
        <v>17988.14</v>
      </c>
      <c r="J20" s="2">
        <v>99030</v>
      </c>
      <c r="K20" s="2">
        <v>0.18</v>
      </c>
    </row>
    <row r="21" spans="1:11" x14ac:dyDescent="0.3">
      <c r="A21" s="2" t="s">
        <v>30</v>
      </c>
      <c r="B21" s="3">
        <v>45783</v>
      </c>
      <c r="C21" s="2" t="s">
        <v>64</v>
      </c>
      <c r="D21" s="2" t="s">
        <v>84</v>
      </c>
      <c r="E21" s="2" t="s">
        <v>117</v>
      </c>
      <c r="F21" s="2" t="s">
        <v>127</v>
      </c>
      <c r="G21" s="2">
        <v>1</v>
      </c>
      <c r="H21" s="2">
        <v>19637</v>
      </c>
      <c r="I21" s="2">
        <v>5813.37</v>
      </c>
      <c r="J21" s="2">
        <v>19637</v>
      </c>
      <c r="K21" s="2">
        <v>0.3</v>
      </c>
    </row>
    <row r="22" spans="1:11" x14ac:dyDescent="0.3">
      <c r="A22" s="2" t="s">
        <v>31</v>
      </c>
      <c r="B22" s="3">
        <v>45690</v>
      </c>
      <c r="C22" s="2" t="s">
        <v>62</v>
      </c>
      <c r="D22" s="2" t="s">
        <v>85</v>
      </c>
      <c r="E22" s="2" t="s">
        <v>117</v>
      </c>
      <c r="F22" s="2" t="s">
        <v>126</v>
      </c>
      <c r="G22" s="2">
        <v>7</v>
      </c>
      <c r="H22" s="2">
        <v>33736</v>
      </c>
      <c r="I22" s="2">
        <v>18400.14</v>
      </c>
      <c r="J22" s="2">
        <v>236152</v>
      </c>
      <c r="K22" s="2">
        <v>0.08</v>
      </c>
    </row>
    <row r="23" spans="1:11" x14ac:dyDescent="0.3">
      <c r="A23" s="2" t="s">
        <v>32</v>
      </c>
      <c r="B23" s="3">
        <v>45723</v>
      </c>
      <c r="C23" s="2" t="s">
        <v>64</v>
      </c>
      <c r="D23" s="2" t="s">
        <v>86</v>
      </c>
      <c r="E23" s="2" t="s">
        <v>117</v>
      </c>
      <c r="F23" s="2" t="s">
        <v>127</v>
      </c>
      <c r="G23" s="2">
        <v>3</v>
      </c>
      <c r="H23" s="2">
        <v>5311</v>
      </c>
      <c r="I23" s="2">
        <v>4182.55</v>
      </c>
      <c r="J23" s="2">
        <v>15933</v>
      </c>
      <c r="K23" s="2">
        <v>0.26</v>
      </c>
    </row>
    <row r="24" spans="1:11" x14ac:dyDescent="0.3">
      <c r="A24" s="2" t="s">
        <v>33</v>
      </c>
      <c r="B24" s="3">
        <v>45708</v>
      </c>
      <c r="C24" s="2" t="s">
        <v>61</v>
      </c>
      <c r="D24" s="2" t="s">
        <v>87</v>
      </c>
      <c r="E24" s="2" t="s">
        <v>116</v>
      </c>
      <c r="F24" s="2" t="s">
        <v>120</v>
      </c>
      <c r="G24" s="2">
        <v>5</v>
      </c>
      <c r="H24" s="2">
        <v>49302</v>
      </c>
      <c r="I24" s="2">
        <v>28469.35</v>
      </c>
      <c r="J24" s="2">
        <v>246510</v>
      </c>
      <c r="K24" s="2">
        <v>0.12</v>
      </c>
    </row>
    <row r="25" spans="1:11" x14ac:dyDescent="0.3">
      <c r="A25" s="2" t="s">
        <v>34</v>
      </c>
      <c r="B25" s="3">
        <v>45713</v>
      </c>
      <c r="C25" s="2" t="s">
        <v>64</v>
      </c>
      <c r="D25" s="2" t="s">
        <v>88</v>
      </c>
      <c r="E25" s="2" t="s">
        <v>115</v>
      </c>
      <c r="F25" s="2" t="s">
        <v>122</v>
      </c>
      <c r="G25" s="2">
        <v>6</v>
      </c>
      <c r="H25" s="2">
        <v>46010</v>
      </c>
      <c r="I25" s="2">
        <v>58318.51</v>
      </c>
      <c r="J25" s="2">
        <v>276060</v>
      </c>
      <c r="K25" s="2">
        <v>0.21</v>
      </c>
    </row>
    <row r="26" spans="1:11" x14ac:dyDescent="0.3">
      <c r="A26" s="2" t="s">
        <v>35</v>
      </c>
      <c r="B26" s="3">
        <v>45836</v>
      </c>
      <c r="C26" s="2" t="s">
        <v>62</v>
      </c>
      <c r="D26" s="2" t="s">
        <v>89</v>
      </c>
      <c r="E26" s="2" t="s">
        <v>117</v>
      </c>
      <c r="F26" s="2" t="s">
        <v>125</v>
      </c>
      <c r="G26" s="2">
        <v>2</v>
      </c>
      <c r="H26" s="2">
        <v>49111</v>
      </c>
      <c r="I26" s="2">
        <v>6242.81</v>
      </c>
      <c r="J26" s="2">
        <v>98222</v>
      </c>
      <c r="K26" s="2">
        <v>0.06</v>
      </c>
    </row>
    <row r="27" spans="1:11" x14ac:dyDescent="0.3">
      <c r="A27" s="2" t="s">
        <v>36</v>
      </c>
      <c r="B27" s="3">
        <v>45823</v>
      </c>
      <c r="C27" s="2" t="s">
        <v>64</v>
      </c>
      <c r="D27" s="2" t="s">
        <v>90</v>
      </c>
      <c r="E27" s="2" t="s">
        <v>116</v>
      </c>
      <c r="F27" s="2" t="s">
        <v>124</v>
      </c>
      <c r="G27" s="2">
        <v>6</v>
      </c>
      <c r="H27" s="2">
        <v>24668</v>
      </c>
      <c r="I27" s="2">
        <v>20013.93</v>
      </c>
      <c r="J27" s="2">
        <v>148008</v>
      </c>
      <c r="K27" s="2">
        <v>0.14000000000000001</v>
      </c>
    </row>
    <row r="28" spans="1:11" x14ac:dyDescent="0.3">
      <c r="A28" s="2" t="s">
        <v>37</v>
      </c>
      <c r="B28" s="3">
        <v>45774</v>
      </c>
      <c r="C28" s="2" t="s">
        <v>63</v>
      </c>
      <c r="D28" s="2" t="s">
        <v>91</v>
      </c>
      <c r="E28" s="2" t="s">
        <v>117</v>
      </c>
      <c r="F28" s="2" t="s">
        <v>127</v>
      </c>
      <c r="G28" s="2">
        <v>5</v>
      </c>
      <c r="H28" s="2">
        <v>42107</v>
      </c>
      <c r="I28" s="2">
        <v>24919.85</v>
      </c>
      <c r="J28" s="2">
        <v>210535</v>
      </c>
      <c r="K28" s="2">
        <v>0.12</v>
      </c>
    </row>
    <row r="29" spans="1:11" x14ac:dyDescent="0.3">
      <c r="A29" s="2" t="s">
        <v>38</v>
      </c>
      <c r="B29" s="3">
        <v>45778</v>
      </c>
      <c r="C29" s="2" t="s">
        <v>63</v>
      </c>
      <c r="D29" s="2" t="s">
        <v>92</v>
      </c>
      <c r="E29" s="2" t="s">
        <v>115</v>
      </c>
      <c r="F29" s="2" t="s">
        <v>118</v>
      </c>
      <c r="G29" s="2">
        <v>2</v>
      </c>
      <c r="H29" s="2">
        <v>2587</v>
      </c>
      <c r="I29" s="2">
        <v>313.49</v>
      </c>
      <c r="J29" s="2">
        <v>5174</v>
      </c>
      <c r="K29" s="2">
        <v>0.06</v>
      </c>
    </row>
    <row r="30" spans="1:11" x14ac:dyDescent="0.3">
      <c r="A30" s="2" t="s">
        <v>39</v>
      </c>
      <c r="B30" s="3">
        <v>45737</v>
      </c>
      <c r="C30" s="2" t="s">
        <v>64</v>
      </c>
      <c r="D30" s="2" t="s">
        <v>93</v>
      </c>
      <c r="E30" s="2" t="s">
        <v>115</v>
      </c>
      <c r="F30" s="2" t="s">
        <v>122</v>
      </c>
      <c r="G30" s="2">
        <v>10</v>
      </c>
      <c r="H30" s="2">
        <v>24196</v>
      </c>
      <c r="I30" s="2">
        <v>32985.279999999999</v>
      </c>
      <c r="J30" s="2">
        <v>241960</v>
      </c>
      <c r="K30" s="2">
        <v>0.14000000000000001</v>
      </c>
    </row>
    <row r="31" spans="1:11" x14ac:dyDescent="0.3">
      <c r="A31" s="2" t="s">
        <v>40</v>
      </c>
      <c r="B31" s="3">
        <v>45735</v>
      </c>
      <c r="C31" s="2" t="s">
        <v>62</v>
      </c>
      <c r="D31" s="2" t="s">
        <v>94</v>
      </c>
      <c r="E31" s="2" t="s">
        <v>115</v>
      </c>
      <c r="F31" s="2" t="s">
        <v>123</v>
      </c>
      <c r="G31" s="2">
        <v>4</v>
      </c>
      <c r="H31" s="2">
        <v>3669</v>
      </c>
      <c r="I31" s="2">
        <v>2732.96</v>
      </c>
      <c r="J31" s="2">
        <v>14676</v>
      </c>
      <c r="K31" s="2">
        <v>0.19</v>
      </c>
    </row>
    <row r="32" spans="1:11" x14ac:dyDescent="0.3">
      <c r="A32" s="2" t="s">
        <v>41</v>
      </c>
      <c r="B32" s="3">
        <v>45758</v>
      </c>
      <c r="C32" s="2" t="s">
        <v>64</v>
      </c>
      <c r="D32" s="2" t="s">
        <v>95</v>
      </c>
      <c r="E32" s="2" t="s">
        <v>117</v>
      </c>
      <c r="F32" s="2" t="s">
        <v>127</v>
      </c>
      <c r="G32" s="2">
        <v>3</v>
      </c>
      <c r="H32" s="2">
        <v>5371</v>
      </c>
      <c r="I32" s="2">
        <v>1359.54</v>
      </c>
      <c r="J32" s="2">
        <v>16113</v>
      </c>
      <c r="K32" s="2">
        <v>0.08</v>
      </c>
    </row>
    <row r="33" spans="1:11" x14ac:dyDescent="0.3">
      <c r="A33" s="2" t="s">
        <v>42</v>
      </c>
      <c r="B33" s="3">
        <v>45832</v>
      </c>
      <c r="C33" s="2" t="s">
        <v>64</v>
      </c>
      <c r="D33" s="2" t="s">
        <v>96</v>
      </c>
      <c r="E33" s="2" t="s">
        <v>117</v>
      </c>
      <c r="F33" s="2" t="s">
        <v>125</v>
      </c>
      <c r="G33" s="2">
        <v>5</v>
      </c>
      <c r="H33" s="2">
        <v>7380</v>
      </c>
      <c r="I33" s="2">
        <v>1907.85</v>
      </c>
      <c r="J33" s="2">
        <v>36900</v>
      </c>
      <c r="K33" s="2">
        <v>0.05</v>
      </c>
    </row>
    <row r="34" spans="1:11" x14ac:dyDescent="0.3">
      <c r="A34" s="2" t="s">
        <v>43</v>
      </c>
      <c r="B34" s="3">
        <v>45764</v>
      </c>
      <c r="C34" s="2" t="s">
        <v>64</v>
      </c>
      <c r="D34" s="2" t="s">
        <v>97</v>
      </c>
      <c r="E34" s="2" t="s">
        <v>117</v>
      </c>
      <c r="F34" s="2" t="s">
        <v>127</v>
      </c>
      <c r="G34" s="2">
        <v>10</v>
      </c>
      <c r="H34" s="2">
        <v>47065</v>
      </c>
      <c r="I34" s="2">
        <v>24614.13</v>
      </c>
      <c r="J34" s="2">
        <v>470650</v>
      </c>
      <c r="K34" s="2">
        <v>0.05</v>
      </c>
    </row>
    <row r="35" spans="1:11" x14ac:dyDescent="0.3">
      <c r="A35" s="2" t="s">
        <v>44</v>
      </c>
      <c r="B35" s="3">
        <v>45681</v>
      </c>
      <c r="C35" s="2" t="s">
        <v>63</v>
      </c>
      <c r="D35" s="2" t="s">
        <v>98</v>
      </c>
      <c r="E35" s="2" t="s">
        <v>115</v>
      </c>
      <c r="F35" s="2" t="s">
        <v>123</v>
      </c>
      <c r="G35" s="2">
        <v>4</v>
      </c>
      <c r="H35" s="2">
        <v>24120</v>
      </c>
      <c r="I35" s="2">
        <v>20949.02</v>
      </c>
      <c r="J35" s="2">
        <v>96480</v>
      </c>
      <c r="K35" s="2">
        <v>0.22</v>
      </c>
    </row>
    <row r="36" spans="1:11" x14ac:dyDescent="0.3">
      <c r="A36" s="2" t="s">
        <v>45</v>
      </c>
      <c r="B36" s="3">
        <v>45849</v>
      </c>
      <c r="C36" s="2" t="s">
        <v>63</v>
      </c>
      <c r="D36" s="2" t="s">
        <v>99</v>
      </c>
      <c r="E36" s="2" t="s">
        <v>117</v>
      </c>
      <c r="F36" s="2" t="s">
        <v>126</v>
      </c>
      <c r="G36" s="2">
        <v>9</v>
      </c>
      <c r="H36" s="2">
        <v>45819</v>
      </c>
      <c r="I36" s="2">
        <v>90401.61</v>
      </c>
      <c r="J36" s="2">
        <v>412371</v>
      </c>
      <c r="K36" s="2">
        <v>0.22</v>
      </c>
    </row>
    <row r="37" spans="1:11" x14ac:dyDescent="0.3">
      <c r="A37" s="2" t="s">
        <v>46</v>
      </c>
      <c r="B37" s="3">
        <v>45684</v>
      </c>
      <c r="C37" s="2" t="s">
        <v>64</v>
      </c>
      <c r="D37" s="2" t="s">
        <v>100</v>
      </c>
      <c r="E37" s="2" t="s">
        <v>116</v>
      </c>
      <c r="F37" s="2" t="s">
        <v>120</v>
      </c>
      <c r="G37" s="2">
        <v>2</v>
      </c>
      <c r="H37" s="2">
        <v>22138</v>
      </c>
      <c r="I37" s="2">
        <v>9353.9</v>
      </c>
      <c r="J37" s="2">
        <v>44276</v>
      </c>
      <c r="K37" s="2">
        <v>0.21</v>
      </c>
    </row>
    <row r="38" spans="1:11" x14ac:dyDescent="0.3">
      <c r="A38" s="2" t="s">
        <v>47</v>
      </c>
      <c r="B38" s="3">
        <v>45745</v>
      </c>
      <c r="C38" s="2" t="s">
        <v>63</v>
      </c>
      <c r="D38" s="2" t="s">
        <v>101</v>
      </c>
      <c r="E38" s="2" t="s">
        <v>115</v>
      </c>
      <c r="F38" s="2" t="s">
        <v>122</v>
      </c>
      <c r="G38" s="2">
        <v>6</v>
      </c>
      <c r="H38" s="2">
        <v>32119</v>
      </c>
      <c r="I38" s="2">
        <v>56476.959999999999</v>
      </c>
      <c r="J38" s="2">
        <v>192714</v>
      </c>
      <c r="K38" s="2">
        <v>0.28999999999999998</v>
      </c>
    </row>
    <row r="39" spans="1:11" x14ac:dyDescent="0.3">
      <c r="A39" s="2" t="s">
        <v>48</v>
      </c>
      <c r="B39" s="3">
        <v>45853</v>
      </c>
      <c r="C39" s="2" t="s">
        <v>63</v>
      </c>
      <c r="D39" s="2" t="s">
        <v>102</v>
      </c>
      <c r="E39" s="2" t="s">
        <v>117</v>
      </c>
      <c r="F39" s="2" t="s">
        <v>126</v>
      </c>
      <c r="G39" s="2">
        <v>1</v>
      </c>
      <c r="H39" s="2">
        <v>37005</v>
      </c>
      <c r="I39" s="2">
        <v>9467.73</v>
      </c>
      <c r="J39" s="2">
        <v>37005</v>
      </c>
      <c r="K39" s="2">
        <v>0.26</v>
      </c>
    </row>
    <row r="40" spans="1:11" x14ac:dyDescent="0.3">
      <c r="A40" s="2" t="s">
        <v>49</v>
      </c>
      <c r="B40" s="3">
        <v>45785</v>
      </c>
      <c r="C40" s="2" t="s">
        <v>61</v>
      </c>
      <c r="D40" s="2" t="s">
        <v>103</v>
      </c>
      <c r="E40" s="2" t="s">
        <v>116</v>
      </c>
      <c r="F40" s="2" t="s">
        <v>124</v>
      </c>
      <c r="G40" s="2">
        <v>9</v>
      </c>
      <c r="H40" s="2">
        <v>47985</v>
      </c>
      <c r="I40" s="2">
        <v>127812.64</v>
      </c>
      <c r="J40" s="2">
        <v>431865</v>
      </c>
      <c r="K40" s="2">
        <v>0.3</v>
      </c>
    </row>
    <row r="41" spans="1:11" x14ac:dyDescent="0.3">
      <c r="A41" s="2" t="s">
        <v>50</v>
      </c>
      <c r="B41" s="3">
        <v>45840</v>
      </c>
      <c r="C41" s="2" t="s">
        <v>62</v>
      </c>
      <c r="D41" s="2" t="s">
        <v>104</v>
      </c>
      <c r="E41" s="2" t="s">
        <v>115</v>
      </c>
      <c r="F41" s="2" t="s">
        <v>118</v>
      </c>
      <c r="G41" s="2">
        <v>4</v>
      </c>
      <c r="H41" s="2">
        <v>1543</v>
      </c>
      <c r="I41" s="2">
        <v>836.05</v>
      </c>
      <c r="J41" s="2">
        <v>6172</v>
      </c>
      <c r="K41" s="2">
        <v>0.14000000000000001</v>
      </c>
    </row>
    <row r="42" spans="1:11" x14ac:dyDescent="0.3">
      <c r="A42" s="2" t="s">
        <v>51</v>
      </c>
      <c r="B42" s="3">
        <v>45829</v>
      </c>
      <c r="C42" s="2" t="s">
        <v>61</v>
      </c>
      <c r="D42" s="2" t="s">
        <v>105</v>
      </c>
      <c r="E42" s="2" t="s">
        <v>116</v>
      </c>
      <c r="F42" s="2" t="s">
        <v>119</v>
      </c>
      <c r="G42" s="2">
        <v>7</v>
      </c>
      <c r="H42" s="2">
        <v>41612</v>
      </c>
      <c r="I42" s="2">
        <v>60359.47</v>
      </c>
      <c r="J42" s="2">
        <v>291284</v>
      </c>
      <c r="K42" s="2">
        <v>0.21</v>
      </c>
    </row>
    <row r="43" spans="1:11" x14ac:dyDescent="0.3">
      <c r="A43" s="2" t="s">
        <v>52</v>
      </c>
      <c r="B43" s="3">
        <v>45795</v>
      </c>
      <c r="C43" s="2" t="s">
        <v>61</v>
      </c>
      <c r="D43" s="2" t="s">
        <v>106</v>
      </c>
      <c r="E43" s="2" t="s">
        <v>115</v>
      </c>
      <c r="F43" s="2" t="s">
        <v>118</v>
      </c>
      <c r="G43" s="2">
        <v>1</v>
      </c>
      <c r="H43" s="2">
        <v>48993</v>
      </c>
      <c r="I43" s="2">
        <v>12091.48</v>
      </c>
      <c r="J43" s="2">
        <v>48993</v>
      </c>
      <c r="K43" s="2">
        <v>0.25</v>
      </c>
    </row>
    <row r="44" spans="1:11" x14ac:dyDescent="0.3">
      <c r="A44" s="2" t="s">
        <v>53</v>
      </c>
      <c r="B44" s="3">
        <v>45858</v>
      </c>
      <c r="C44" s="2" t="s">
        <v>61</v>
      </c>
      <c r="D44" s="2" t="s">
        <v>107</v>
      </c>
      <c r="E44" s="2" t="s">
        <v>117</v>
      </c>
      <c r="F44" s="2" t="s">
        <v>126</v>
      </c>
      <c r="G44" s="2">
        <v>6</v>
      </c>
      <c r="H44" s="2">
        <v>15739</v>
      </c>
      <c r="I44" s="2">
        <v>23449.3</v>
      </c>
      <c r="J44" s="2">
        <v>94434</v>
      </c>
      <c r="K44" s="2">
        <v>0.25</v>
      </c>
    </row>
    <row r="45" spans="1:11" x14ac:dyDescent="0.3">
      <c r="A45" s="2" t="s">
        <v>54</v>
      </c>
      <c r="B45" s="3">
        <v>45843</v>
      </c>
      <c r="C45" s="2" t="s">
        <v>63</v>
      </c>
      <c r="D45" s="2" t="s">
        <v>108</v>
      </c>
      <c r="E45" s="2" t="s">
        <v>115</v>
      </c>
      <c r="F45" s="2" t="s">
        <v>123</v>
      </c>
      <c r="G45" s="2">
        <v>10</v>
      </c>
      <c r="H45" s="2">
        <v>23626</v>
      </c>
      <c r="I45" s="2">
        <v>20325.37</v>
      </c>
      <c r="J45" s="2">
        <v>236260</v>
      </c>
      <c r="K45" s="2">
        <v>0.09</v>
      </c>
    </row>
    <row r="46" spans="1:11" x14ac:dyDescent="0.3">
      <c r="A46" s="2" t="s">
        <v>55</v>
      </c>
      <c r="B46" s="3">
        <v>45806</v>
      </c>
      <c r="C46" s="2" t="s">
        <v>62</v>
      </c>
      <c r="D46" s="2" t="s">
        <v>109</v>
      </c>
      <c r="E46" s="2" t="s">
        <v>115</v>
      </c>
      <c r="F46" s="2" t="s">
        <v>123</v>
      </c>
      <c r="G46" s="2">
        <v>6</v>
      </c>
      <c r="H46" s="2">
        <v>26810</v>
      </c>
      <c r="I46" s="2">
        <v>42012.31</v>
      </c>
      <c r="J46" s="2">
        <v>160860</v>
      </c>
      <c r="K46" s="2">
        <v>0.26</v>
      </c>
    </row>
    <row r="47" spans="1:11" x14ac:dyDescent="0.3">
      <c r="A47" s="2" t="s">
        <v>56</v>
      </c>
      <c r="B47" s="3">
        <v>45736</v>
      </c>
      <c r="C47" s="2" t="s">
        <v>61</v>
      </c>
      <c r="D47" s="2" t="s">
        <v>110</v>
      </c>
      <c r="E47" s="2" t="s">
        <v>117</v>
      </c>
      <c r="F47" s="2" t="s">
        <v>121</v>
      </c>
      <c r="G47" s="2">
        <v>10</v>
      </c>
      <c r="H47" s="2">
        <v>45849</v>
      </c>
      <c r="I47" s="2">
        <v>80079.88</v>
      </c>
      <c r="J47" s="2">
        <v>458490</v>
      </c>
      <c r="K47" s="2">
        <v>0.17</v>
      </c>
    </row>
    <row r="48" spans="1:11" x14ac:dyDescent="0.3">
      <c r="A48" s="2" t="s">
        <v>57</v>
      </c>
      <c r="B48" s="3">
        <v>45823</v>
      </c>
      <c r="C48" s="2" t="s">
        <v>63</v>
      </c>
      <c r="D48" s="2" t="s">
        <v>111</v>
      </c>
      <c r="E48" s="2" t="s">
        <v>116</v>
      </c>
      <c r="F48" s="2" t="s">
        <v>119</v>
      </c>
      <c r="G48" s="2">
        <v>4</v>
      </c>
      <c r="H48" s="2">
        <v>41207</v>
      </c>
      <c r="I48" s="2">
        <v>39165.160000000003</v>
      </c>
      <c r="J48" s="2">
        <v>164828</v>
      </c>
      <c r="K48" s="2">
        <v>0.24</v>
      </c>
    </row>
    <row r="49" spans="1:11" x14ac:dyDescent="0.3">
      <c r="A49" s="2" t="s">
        <v>58</v>
      </c>
      <c r="B49" s="3">
        <v>45782</v>
      </c>
      <c r="C49" s="2" t="s">
        <v>64</v>
      </c>
      <c r="D49" s="2" t="s">
        <v>112</v>
      </c>
      <c r="E49" s="2" t="s">
        <v>117</v>
      </c>
      <c r="F49" s="2" t="s">
        <v>121</v>
      </c>
      <c r="G49" s="2">
        <v>1</v>
      </c>
      <c r="H49" s="2">
        <v>30565</v>
      </c>
      <c r="I49" s="2">
        <v>2142.41</v>
      </c>
      <c r="J49" s="2">
        <v>30565</v>
      </c>
      <c r="K49" s="2">
        <v>7.0000000000000007E-2</v>
      </c>
    </row>
    <row r="50" spans="1:11" x14ac:dyDescent="0.3">
      <c r="A50" s="2" t="s">
        <v>59</v>
      </c>
      <c r="B50" s="3">
        <v>45800</v>
      </c>
      <c r="C50" s="2" t="s">
        <v>62</v>
      </c>
      <c r="D50" s="2" t="s">
        <v>113</v>
      </c>
      <c r="E50" s="2" t="s">
        <v>117</v>
      </c>
      <c r="F50" s="2" t="s">
        <v>125</v>
      </c>
      <c r="G50" s="2">
        <v>3</v>
      </c>
      <c r="H50" s="2">
        <v>3716</v>
      </c>
      <c r="I50" s="2">
        <v>1298.57</v>
      </c>
      <c r="J50" s="2">
        <v>11148</v>
      </c>
      <c r="K50" s="2">
        <v>0.12</v>
      </c>
    </row>
    <row r="51" spans="1:11" x14ac:dyDescent="0.3">
      <c r="A51" s="2" t="s">
        <v>60</v>
      </c>
      <c r="B51" s="3">
        <v>45685</v>
      </c>
      <c r="C51" s="2" t="s">
        <v>63</v>
      </c>
      <c r="D51" s="2" t="s">
        <v>114</v>
      </c>
      <c r="E51" s="2" t="s">
        <v>117</v>
      </c>
      <c r="F51" s="2" t="s">
        <v>126</v>
      </c>
      <c r="G51" s="2">
        <v>4</v>
      </c>
      <c r="H51" s="2">
        <v>31664</v>
      </c>
      <c r="I51" s="2">
        <v>14478.97</v>
      </c>
      <c r="J51" s="2">
        <v>126656</v>
      </c>
      <c r="K51" s="2">
        <v>0.11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8DD1D-7ECE-422F-9305-CE71A6B76E26}">
  <dimension ref="A1:B4"/>
  <sheetViews>
    <sheetView workbookViewId="0">
      <selection activeCell="A4" sqref="A4"/>
    </sheetView>
  </sheetViews>
  <sheetFormatPr defaultRowHeight="14.4" x14ac:dyDescent="0.3"/>
  <sheetData>
    <row r="1" spans="1:2" x14ac:dyDescent="0.3">
      <c r="A1">
        <f>SUM(Sheet1!K2:K1000)</f>
        <v>8.1199999999999974</v>
      </c>
      <c r="B1" t="s">
        <v>9</v>
      </c>
    </row>
    <row r="2" spans="1:2" x14ac:dyDescent="0.3">
      <c r="A2">
        <f>SUM(Sheet1!J2:J1000)</f>
        <v>8429098</v>
      </c>
      <c r="B2" t="s">
        <v>141</v>
      </c>
    </row>
    <row r="3" spans="1:2" x14ac:dyDescent="0.3">
      <c r="A3" t="str">
        <f>TEXT(Sheet1!B2,"MMM")</f>
        <v>May</v>
      </c>
      <c r="B3" t="s">
        <v>143</v>
      </c>
    </row>
    <row r="4" spans="1:2" x14ac:dyDescent="0.3">
      <c r="A4">
        <f>AVERAGEIFS(Sheet1!K2:K1000, Sheet1!B2:B1000, "&gt;=01-01-2025", Sheet1!B2:B1000, "&lt;=31-12-2025")</f>
        <v>0.16239999999999996</v>
      </c>
      <c r="B4" t="s">
        <v>142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Sheet2</vt:lpstr>
      <vt:lpstr>Sheet3</vt:lpstr>
      <vt:lpstr>Dashboard</vt:lpstr>
      <vt:lpstr>Sheet5</vt:lpstr>
      <vt:lpstr>Sheet1</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bhuvan T D</dc:creator>
  <cp:lastModifiedBy>bhuvan T D</cp:lastModifiedBy>
  <dcterms:created xsi:type="dcterms:W3CDTF">2025-07-26T17:55:26Z</dcterms:created>
  <dcterms:modified xsi:type="dcterms:W3CDTF">2025-07-27T17:24:32Z</dcterms:modified>
</cp:coreProperties>
</file>